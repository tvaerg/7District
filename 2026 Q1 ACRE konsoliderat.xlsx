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creskogstjanst-my.sharepoint.com/personal/martin_kyrk_acre_se/Documents/Skrivbordet/ALLT/Styrelsearbete och möten/Kvartalsrapportering Per/2026Q1/"/>
    </mc:Choice>
  </mc:AlternateContent>
  <xr:revisionPtr revIDLastSave="243" documentId="8_{54DF1A5D-7562-4D56-96BD-4411A51DA3B6}" xr6:coauthVersionLast="47" xr6:coauthVersionMax="47" xr10:uidLastSave="{B77020AD-C44B-4705-BF68-029EC8FBEB4A}"/>
  <bookViews>
    <workbookView xWindow="-108" yWindow="-108" windowWidth="23256" windowHeight="13896" xr2:uid="{00000000-000D-0000-FFFF-FFFF00000000}"/>
  </bookViews>
  <sheets>
    <sheet name="Konsoliderat Q1 2026" sheetId="9" r:id="rId1"/>
    <sheet name="Extraordinära kostnader" sheetId="10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0" l="1"/>
  <c r="B6" i="10"/>
  <c r="C6" i="10"/>
  <c r="D6" i="10"/>
  <c r="E9" i="10"/>
  <c r="F10" i="9" s="1"/>
  <c r="F12" i="9" s="1"/>
  <c r="H14" i="9" l="1"/>
  <c r="D10" i="9" l="1"/>
  <c r="H20" i="9"/>
  <c r="H18" i="9"/>
  <c r="H16" i="9"/>
  <c r="H8" i="9"/>
  <c r="H6" i="9"/>
  <c r="H4" i="9"/>
  <c r="D12" i="9" l="1"/>
  <c r="H12" i="9" s="1"/>
  <c r="H10" i="9"/>
</calcChain>
</file>

<file path=xl/sharedStrings.xml><?xml version="1.0" encoding="utf-8"?>
<sst xmlns="http://schemas.openxmlformats.org/spreadsheetml/2006/main" count="21" uniqueCount="21">
  <si>
    <t>Intäkter</t>
  </si>
  <si>
    <t>Bruttovinst</t>
  </si>
  <si>
    <t>Holding</t>
  </si>
  <si>
    <t>ACK</t>
  </si>
  <si>
    <t>KSEK</t>
  </si>
  <si>
    <t>Kassa</t>
  </si>
  <si>
    <t>Kortfristig Skuld</t>
  </si>
  <si>
    <t>Långfristig skuld</t>
  </si>
  <si>
    <t xml:space="preserve">Avskrivningar </t>
  </si>
  <si>
    <t>EBITDA före E/O</t>
  </si>
  <si>
    <t>E/O</t>
  </si>
  <si>
    <t>EBITDA efter E/O</t>
  </si>
  <si>
    <t>Acre AB</t>
  </si>
  <si>
    <t>ACRE</t>
  </si>
  <si>
    <t>Acre Holding</t>
  </si>
  <si>
    <t>Jan</t>
  </si>
  <si>
    <t>Feb</t>
  </si>
  <si>
    <t>Mar</t>
  </si>
  <si>
    <t>Rebrandning SveArb till Acre</t>
  </si>
  <si>
    <t>Ny lönehantering och projekthanteringssystem</t>
  </si>
  <si>
    <t>Bonus Management Syd och Väst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</si>
</sst>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8">
    <xf numFmtId="0" fontId="0" fillId="0" borderId="0" xfId="0"/>
    <xf numFmtId="0" fontId="19" fillId="0" borderId="0" xfId="0" applyFont="1"/>
    <xf numFmtId="0" fontId="20" fillId="0" borderId="0" xfId="0" applyFont="1"/>
    <xf numFmtId="0" fontId="0" fillId="0" borderId="0" xfId="0" applyAlignment="1">
      <alignment horizontal="left"/>
    </xf>
    <xf numFmtId="0" fontId="16" fillId="0" borderId="0" xfId="0" applyFont="1" applyAlignment="1">
      <alignment horizontal="left"/>
    </xf>
    <xf numFmtId="164" fontId="0" fillId="0" borderId="0" xfId="0" applyNumberFormat="1"/>
    <xf numFmtId="0" fontId="16" fillId="33" borderId="0" xfId="0" applyFont="1" applyFill="1"/>
    <xf numFmtId="0" fontId="21" fillId="0" borderId="0" xfId="0" applyFont="1" applyAlignment="1">
      <alignment horizontal="left"/>
    </xf>
    <xf numFmtId="0" fontId="21" fillId="0" borderId="0" xfId="0" applyFont="1"/>
    <xf numFmtId="0" fontId="22" fillId="0" borderId="0" xfId="0" applyFont="1"/>
    <xf numFmtId="164" fontId="16" fillId="0" borderId="0" xfId="0" applyNumberFormat="1" applyFont="1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wrapText="1"/>
    </xf>
    <xf numFmtId="164" fontId="0" fillId="0" borderId="0" xfId="0" applyNumberFormat="1" applyFill="1"/>
    <xf numFmtId="0" fontId="0" fillId="0" borderId="0" xfId="0" applyFill="1"/>
    <xf numFmtId="0" fontId="16" fillId="0" borderId="0" xfId="0" applyFont="1" applyFill="1"/>
    <xf numFmtId="0" fontId="16" fillId="0" borderId="0" xfId="0" applyFont="1"/>
    <xf numFmtId="0" fontId="0" fillId="0" borderId="10" xfId="0" applyBorder="1"/>
  </cellXfs>
  <cellStyles count="43">
    <cellStyle name="20 % - Dekorfärg1" xfId="19" builtinId="30" customBuiltin="1"/>
    <cellStyle name="20 % - Dekorfärg2" xfId="23" builtinId="34" customBuiltin="1"/>
    <cellStyle name="20 % - Dekorfärg3" xfId="27" builtinId="38" customBuiltin="1"/>
    <cellStyle name="20 % - Dekorfärg4" xfId="31" builtinId="42" customBuiltin="1"/>
    <cellStyle name="20 % - Dekorfärg5" xfId="35" builtinId="46" customBuiltin="1"/>
    <cellStyle name="20 % - Dekorfärg6" xfId="39" builtinId="50" customBuiltin="1"/>
    <cellStyle name="40 % - Dekorfärg1" xfId="20" builtinId="31" customBuiltin="1"/>
    <cellStyle name="40 % - Dekorfärg2" xfId="24" builtinId="35" customBuiltin="1"/>
    <cellStyle name="40 % - Dekorfärg3" xfId="28" builtinId="39" customBuiltin="1"/>
    <cellStyle name="40 % - Dekorfärg4" xfId="32" builtinId="43" customBuiltin="1"/>
    <cellStyle name="40 % - Dekorfärg5" xfId="36" builtinId="47" customBuiltin="1"/>
    <cellStyle name="40 % - Dekorfärg6" xfId="40" builtinId="51" customBuiltin="1"/>
    <cellStyle name="60 % - Dekorfärg1" xfId="21" builtinId="32" customBuiltin="1"/>
    <cellStyle name="60 % - Dekorfärg2" xfId="25" builtinId="36" customBuiltin="1"/>
    <cellStyle name="60 % - Dekorfärg3" xfId="29" builtinId="40" customBuiltin="1"/>
    <cellStyle name="60 % - Dekorfärg4" xfId="33" builtinId="44" customBuiltin="1"/>
    <cellStyle name="60 % - Dekorfärg5" xfId="37" builtinId="48" customBuiltin="1"/>
    <cellStyle name="60 % - Dekorfärg6" xfId="41" builtinId="52" customBuiltin="1"/>
    <cellStyle name="Anteckning" xfId="15" builtinId="10" customBuiltin="1"/>
    <cellStyle name="Beräkning" xfId="11" builtinId="22" customBuiltin="1"/>
    <cellStyle name="Bra" xfId="6" builtinId="26" customBuiltin="1"/>
    <cellStyle name="Dekorfärg1" xfId="18" builtinId="29" customBuiltin="1"/>
    <cellStyle name="Dekorfärg2" xfId="22" builtinId="33" customBuiltin="1"/>
    <cellStyle name="Dekorfärg3" xfId="26" builtinId="37" customBuiltin="1"/>
    <cellStyle name="Dekorfärg4" xfId="30" builtinId="41" customBuiltin="1"/>
    <cellStyle name="Dekorfärg5" xfId="34" builtinId="45" customBuiltin="1"/>
    <cellStyle name="Dekorfärg6" xfId="38" builtinId="49" customBuiltin="1"/>
    <cellStyle name="Dålig" xfId="7" builtinId="27" customBuiltin="1"/>
    <cellStyle name="Förklarande text" xfId="16" builtinId="53" customBuiltin="1"/>
    <cellStyle name="Indata" xfId="9" builtinId="20" customBuiltin="1"/>
    <cellStyle name="Kontrollcell" xfId="13" builtinId="23" customBuiltin="1"/>
    <cellStyle name="Länkad cell" xfId="12" builtinId="24" customBuiltin="1"/>
    <cellStyle name="Neutral" xfId="8" builtinId="28" customBuiltin="1"/>
    <cellStyle name="Normal" xfId="0" builtinId="0"/>
    <cellStyle name="Normal 2" xfId="42" xr:uid="{FCDCBA92-EE0F-4314-B498-55AC127D55EE}"/>
    <cellStyle name="Rubrik" xfId="1" builtinId="15" customBuiltin="1"/>
    <cellStyle name="Rubrik 1" xfId="2" builtinId="16" customBuiltin="1"/>
    <cellStyle name="Rubrik 2" xfId="3" builtinId="17" customBuiltin="1"/>
    <cellStyle name="Rubrik 3" xfId="4" builtinId="18" customBuiltin="1"/>
    <cellStyle name="Rubrik 4" xfId="5" builtinId="19" customBuiltin="1"/>
    <cellStyle name="Summa" xfId="17" builtinId="25" customBuiltin="1"/>
    <cellStyle name="Utdata" xfId="10" builtinId="21" customBuiltin="1"/>
    <cellStyle name="Varnings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3C267-19C2-4D14-9099-69BFDD423FF1}">
  <dimension ref="B1:Z24"/>
  <sheetViews>
    <sheetView tabSelected="1" workbookViewId="0">
      <selection activeCell="F10" sqref="F10"/>
    </sheetView>
  </sheetViews>
  <sheetFormatPr defaultRowHeight="14.4" x14ac:dyDescent="0.3"/>
  <cols>
    <col min="2" max="2" width="15.44140625" bestFit="1" customWidth="1"/>
    <col min="4" max="4" width="11" bestFit="1" customWidth="1"/>
    <col min="5" max="5" width="2.6640625" customWidth="1"/>
    <col min="6" max="6" width="9" bestFit="1" customWidth="1"/>
    <col min="7" max="7" width="2.44140625" customWidth="1"/>
  </cols>
  <sheetData>
    <row r="1" spans="2:26" x14ac:dyDescent="0.3">
      <c r="J1" s="11"/>
      <c r="K1" s="11"/>
      <c r="L1" s="11"/>
      <c r="M1" s="11"/>
      <c r="N1" s="11"/>
      <c r="P1" s="12"/>
      <c r="Q1" s="12"/>
      <c r="R1" s="12"/>
      <c r="S1" s="12"/>
      <c r="T1" s="12"/>
      <c r="V1" s="11"/>
      <c r="W1" s="11"/>
      <c r="X1" s="11"/>
      <c r="Y1" s="11"/>
      <c r="Z1" s="11"/>
    </row>
    <row r="2" spans="2:26" x14ac:dyDescent="0.3">
      <c r="B2" s="2" t="s">
        <v>4</v>
      </c>
      <c r="D2" s="1" t="s">
        <v>12</v>
      </c>
      <c r="E2" s="1"/>
      <c r="F2" s="1" t="s">
        <v>2</v>
      </c>
      <c r="G2" s="1"/>
      <c r="H2" s="1" t="s">
        <v>3</v>
      </c>
      <c r="J2" s="1"/>
      <c r="K2" s="1"/>
      <c r="L2" s="1"/>
      <c r="M2" s="1"/>
      <c r="N2" s="1"/>
      <c r="P2" s="1"/>
      <c r="Q2" s="1"/>
      <c r="R2" s="1"/>
      <c r="S2" s="1"/>
      <c r="T2" s="1"/>
      <c r="V2" s="1"/>
      <c r="W2" s="1"/>
      <c r="X2" s="1"/>
      <c r="Y2" s="1"/>
      <c r="Z2" s="1"/>
    </row>
    <row r="3" spans="2:26" x14ac:dyDescent="0.3">
      <c r="D3" s="1"/>
      <c r="E3" s="1"/>
      <c r="F3" s="1"/>
      <c r="G3" s="1"/>
      <c r="H3" s="1"/>
      <c r="J3" s="1"/>
      <c r="K3" s="1"/>
      <c r="L3" s="1"/>
      <c r="M3" s="1"/>
      <c r="N3" s="1"/>
      <c r="P3" s="1"/>
      <c r="Q3" s="1"/>
      <c r="R3" s="1"/>
      <c r="S3" s="1"/>
      <c r="T3" s="1"/>
      <c r="V3" s="1"/>
      <c r="W3" s="1"/>
      <c r="X3" s="1"/>
      <c r="Y3" s="1"/>
      <c r="Z3" s="1"/>
    </row>
    <row r="4" spans="2:26" x14ac:dyDescent="0.3">
      <c r="B4" s="1" t="s">
        <v>0</v>
      </c>
      <c r="D4" s="13">
        <v>17033.099999999999</v>
      </c>
      <c r="E4" s="5"/>
      <c r="F4" s="13">
        <v>144</v>
      </c>
      <c r="G4" s="5"/>
      <c r="H4" s="10">
        <f>SUM(D4:F4)</f>
        <v>17177.099999999999</v>
      </c>
      <c r="J4" s="5"/>
      <c r="K4" s="5"/>
      <c r="L4" s="5"/>
      <c r="M4" s="5"/>
      <c r="N4" s="5"/>
      <c r="P4" s="5"/>
      <c r="Q4" s="5"/>
      <c r="R4" s="5"/>
      <c r="S4" s="5"/>
      <c r="T4" s="5"/>
      <c r="V4" s="5"/>
      <c r="W4" s="5"/>
      <c r="X4" s="5"/>
      <c r="Y4" s="5"/>
      <c r="Z4" s="5"/>
    </row>
    <row r="5" spans="2:26" x14ac:dyDescent="0.3">
      <c r="B5" s="1"/>
      <c r="D5" s="13"/>
      <c r="E5" s="5"/>
      <c r="F5" s="13"/>
      <c r="G5" s="5"/>
      <c r="H5" s="10"/>
      <c r="J5" s="5"/>
      <c r="K5" s="5"/>
      <c r="L5" s="5"/>
      <c r="M5" s="5"/>
      <c r="N5" s="5"/>
      <c r="P5" s="5"/>
      <c r="Q5" s="5"/>
      <c r="R5" s="5"/>
      <c r="S5" s="5"/>
      <c r="T5" s="5"/>
      <c r="V5" s="5"/>
      <c r="W5" s="5"/>
      <c r="X5" s="5"/>
      <c r="Y5" s="5"/>
      <c r="Z5" s="5"/>
    </row>
    <row r="6" spans="2:26" x14ac:dyDescent="0.3">
      <c r="B6" s="1" t="s">
        <v>1</v>
      </c>
      <c r="D6" s="13">
        <v>9937.4</v>
      </c>
      <c r="E6" s="13"/>
      <c r="F6" s="13">
        <v>144</v>
      </c>
      <c r="G6" s="5"/>
      <c r="H6" s="10">
        <f>SUM(D6:F6)</f>
        <v>10081.4</v>
      </c>
      <c r="J6" s="5"/>
      <c r="K6" s="5"/>
      <c r="L6" s="5"/>
      <c r="M6" s="5"/>
      <c r="N6" s="5"/>
      <c r="P6" s="5"/>
      <c r="Q6" s="5"/>
      <c r="R6" s="5"/>
      <c r="S6" s="5"/>
      <c r="T6" s="5"/>
      <c r="V6" s="5"/>
      <c r="W6" s="5"/>
      <c r="X6" s="5"/>
      <c r="Y6" s="5"/>
      <c r="Z6" s="5"/>
    </row>
    <row r="7" spans="2:26" x14ac:dyDescent="0.3">
      <c r="B7" s="1"/>
      <c r="D7" s="13"/>
      <c r="E7" s="13"/>
      <c r="F7" s="13"/>
      <c r="G7" s="5"/>
      <c r="H7" s="10"/>
      <c r="J7" s="5"/>
      <c r="K7" s="5"/>
      <c r="L7" s="5"/>
      <c r="M7" s="5"/>
      <c r="N7" s="5"/>
      <c r="P7" s="5"/>
      <c r="Q7" s="5"/>
      <c r="R7" s="5"/>
      <c r="S7" s="5"/>
      <c r="T7" s="5"/>
      <c r="V7" s="5"/>
      <c r="W7" s="5"/>
      <c r="X7" s="5"/>
      <c r="Y7" s="5"/>
      <c r="Z7" s="5"/>
    </row>
    <row r="8" spans="2:26" x14ac:dyDescent="0.3">
      <c r="B8" s="1" t="s">
        <v>9</v>
      </c>
      <c r="D8" s="13">
        <v>65</v>
      </c>
      <c r="E8" s="13"/>
      <c r="F8" s="13">
        <v>51.3</v>
      </c>
      <c r="G8" s="5"/>
      <c r="H8" s="10">
        <f>SUM(D8:F8)</f>
        <v>116.3</v>
      </c>
      <c r="J8" s="5"/>
      <c r="K8" s="5"/>
      <c r="L8" s="5"/>
      <c r="M8" s="5"/>
      <c r="N8" s="5"/>
      <c r="P8" s="5"/>
      <c r="Q8" s="5"/>
      <c r="R8" s="5"/>
      <c r="S8" s="5"/>
      <c r="T8" s="5"/>
      <c r="V8" s="5"/>
      <c r="W8" s="5"/>
      <c r="X8" s="5"/>
      <c r="Y8" s="5"/>
      <c r="Z8" s="5"/>
    </row>
    <row r="9" spans="2:26" x14ac:dyDescent="0.3">
      <c r="B9" s="1"/>
      <c r="D9" s="13"/>
      <c r="E9" s="13"/>
      <c r="F9" s="13"/>
      <c r="G9" s="5"/>
      <c r="J9" s="5"/>
      <c r="K9" s="5"/>
      <c r="L9" s="5"/>
      <c r="M9" s="5"/>
      <c r="N9" s="5"/>
      <c r="P9" s="5"/>
      <c r="Q9" s="5"/>
      <c r="R9" s="5"/>
      <c r="S9" s="5"/>
      <c r="T9" s="5"/>
      <c r="V9" s="5"/>
      <c r="W9" s="5"/>
      <c r="X9" s="5"/>
      <c r="Y9" s="5"/>
      <c r="Z9" s="5"/>
    </row>
    <row r="10" spans="2:26" x14ac:dyDescent="0.3">
      <c r="B10" s="1" t="s">
        <v>10</v>
      </c>
      <c r="D10" s="13">
        <f>'Extraordinära kostnader'!E6</f>
        <v>465</v>
      </c>
      <c r="E10" s="13"/>
      <c r="F10" s="13">
        <f>'Extraordinära kostnader'!E9</f>
        <v>0</v>
      </c>
      <c r="G10" s="5"/>
      <c r="H10" s="10">
        <f>SUM(D10:F10)</f>
        <v>465</v>
      </c>
      <c r="J10" s="5"/>
      <c r="K10" s="5"/>
      <c r="L10" s="5"/>
      <c r="M10" s="5"/>
      <c r="N10" s="5"/>
      <c r="P10" s="5"/>
      <c r="Q10" s="5"/>
      <c r="R10" s="5"/>
      <c r="S10" s="5"/>
      <c r="T10" s="5"/>
      <c r="V10" s="5"/>
      <c r="W10" s="5"/>
      <c r="X10" s="5"/>
      <c r="Y10" s="5"/>
      <c r="Z10" s="5"/>
    </row>
    <row r="11" spans="2:26" x14ac:dyDescent="0.3">
      <c r="B11" s="1"/>
      <c r="D11" s="13"/>
      <c r="E11" s="13"/>
      <c r="F11" s="13"/>
      <c r="G11" s="5"/>
      <c r="J11" s="5"/>
      <c r="K11" s="5"/>
      <c r="L11" s="5"/>
      <c r="M11" s="5"/>
      <c r="N11" s="5"/>
      <c r="P11" s="5"/>
      <c r="Q11" s="5"/>
      <c r="R11" s="5"/>
      <c r="S11" s="5"/>
      <c r="T11" s="5"/>
      <c r="V11" s="5"/>
      <c r="W11" s="5"/>
      <c r="X11" s="5"/>
      <c r="Y11" s="5"/>
      <c r="Z11" s="5"/>
    </row>
    <row r="12" spans="2:26" x14ac:dyDescent="0.3">
      <c r="B12" s="1" t="s">
        <v>11</v>
      </c>
      <c r="D12" s="13">
        <f>D8+D10</f>
        <v>530</v>
      </c>
      <c r="E12" s="13"/>
      <c r="F12" s="13">
        <f>F8+F10</f>
        <v>51.3</v>
      </c>
      <c r="G12" s="5"/>
      <c r="H12" s="10">
        <f>SUM(D12:F12)</f>
        <v>581.29999999999995</v>
      </c>
      <c r="J12" s="5"/>
      <c r="K12" s="5"/>
      <c r="L12" s="5"/>
      <c r="M12" s="5"/>
      <c r="N12" s="5"/>
      <c r="P12" s="5"/>
      <c r="Q12" s="5"/>
      <c r="R12" s="5"/>
      <c r="S12" s="5"/>
      <c r="T12" s="5"/>
      <c r="V12" s="5"/>
      <c r="W12" s="5"/>
      <c r="X12" s="5"/>
      <c r="Y12" s="5"/>
      <c r="Z12" s="5"/>
    </row>
    <row r="13" spans="2:26" x14ac:dyDescent="0.3">
      <c r="D13" s="13"/>
      <c r="E13" s="13"/>
      <c r="F13" s="13"/>
      <c r="G13" s="5"/>
      <c r="H13" s="10"/>
      <c r="J13" s="5"/>
      <c r="K13" s="5"/>
      <c r="L13" s="5"/>
      <c r="M13" s="5"/>
      <c r="N13" s="5"/>
      <c r="P13" s="5"/>
      <c r="Q13" s="5"/>
      <c r="R13" s="5"/>
      <c r="S13" s="5"/>
      <c r="T13" s="5"/>
      <c r="V13" s="5"/>
      <c r="W13" s="5"/>
      <c r="X13" s="5"/>
      <c r="Y13" s="5"/>
      <c r="Z13" s="5"/>
    </row>
    <row r="14" spans="2:26" x14ac:dyDescent="0.3">
      <c r="B14" s="1" t="s">
        <v>8</v>
      </c>
      <c r="D14" s="13">
        <v>673.9</v>
      </c>
      <c r="E14" s="13"/>
      <c r="F14" s="13">
        <v>0</v>
      </c>
      <c r="G14" s="5"/>
      <c r="H14" s="10">
        <f>SUM(D14:F14)</f>
        <v>673.9</v>
      </c>
      <c r="J14" s="5"/>
      <c r="K14" s="5"/>
      <c r="L14" s="5"/>
      <c r="M14" s="5"/>
      <c r="N14" s="5"/>
      <c r="P14" s="5"/>
      <c r="Q14" s="5"/>
      <c r="R14" s="5"/>
      <c r="S14" s="5"/>
      <c r="T14" s="5"/>
      <c r="V14" s="5"/>
      <c r="W14" s="5"/>
      <c r="X14" s="5"/>
      <c r="Y14" s="5"/>
      <c r="Z14" s="5"/>
    </row>
    <row r="15" spans="2:26" x14ac:dyDescent="0.3">
      <c r="D15" s="13"/>
      <c r="E15" s="13"/>
      <c r="F15" s="13"/>
      <c r="G15" s="5"/>
      <c r="H15" s="10"/>
      <c r="J15" s="5"/>
      <c r="K15" s="5"/>
      <c r="L15" s="5"/>
      <c r="M15" s="5"/>
      <c r="N15" s="5"/>
      <c r="P15" s="5"/>
      <c r="Q15" s="5"/>
      <c r="R15" s="5"/>
      <c r="S15" s="5"/>
      <c r="T15" s="5"/>
      <c r="V15" s="5"/>
      <c r="W15" s="5"/>
      <c r="X15" s="5"/>
      <c r="Y15" s="5"/>
      <c r="Z15" s="5"/>
    </row>
    <row r="16" spans="2:26" x14ac:dyDescent="0.3">
      <c r="B16" s="4" t="s">
        <v>5</v>
      </c>
      <c r="D16" s="14">
        <v>38.200000000000003</v>
      </c>
      <c r="E16" s="13"/>
      <c r="F16" s="13">
        <v>168.4</v>
      </c>
      <c r="G16" s="5"/>
      <c r="H16" s="10">
        <f>SUM(D16:F16)</f>
        <v>206.60000000000002</v>
      </c>
      <c r="K16" s="5"/>
      <c r="L16" s="5"/>
      <c r="M16" s="5"/>
      <c r="N16" s="5"/>
      <c r="Q16" s="5"/>
      <c r="R16" s="5"/>
      <c r="S16" s="5"/>
      <c r="T16" s="5"/>
      <c r="W16" s="5"/>
      <c r="X16" s="5"/>
      <c r="Y16" s="5"/>
      <c r="Z16" s="5"/>
    </row>
    <row r="17" spans="2:26" x14ac:dyDescent="0.3">
      <c r="B17" s="4"/>
      <c r="D17" s="13"/>
      <c r="E17" s="13"/>
      <c r="F17" s="13"/>
      <c r="G17" s="5"/>
      <c r="H17" s="10"/>
      <c r="J17" s="5"/>
      <c r="K17" s="5"/>
      <c r="L17" s="5"/>
      <c r="M17" s="5"/>
      <c r="N17" s="5"/>
      <c r="P17" s="5"/>
      <c r="Q17" s="5"/>
      <c r="R17" s="5"/>
      <c r="S17" s="5"/>
      <c r="T17" s="5"/>
      <c r="V17" s="5"/>
      <c r="W17" s="5"/>
      <c r="X17" s="5"/>
      <c r="Y17" s="5"/>
      <c r="Z17" s="5"/>
    </row>
    <row r="18" spans="2:26" x14ac:dyDescent="0.3">
      <c r="B18" s="4" t="s">
        <v>7</v>
      </c>
      <c r="D18" s="13">
        <v>3569.7</v>
      </c>
      <c r="E18" s="13"/>
      <c r="F18" s="13">
        <v>10087.1</v>
      </c>
      <c r="G18" s="5"/>
      <c r="H18" s="10">
        <f t="shared" ref="H18:H20" si="0">SUM(D18:F18)</f>
        <v>13656.8</v>
      </c>
      <c r="J18" s="5"/>
      <c r="K18" s="5"/>
      <c r="L18" s="5"/>
      <c r="M18" s="5"/>
      <c r="N18" s="5"/>
      <c r="P18" s="5"/>
      <c r="Q18" s="5"/>
      <c r="R18" s="5"/>
      <c r="S18" s="5"/>
      <c r="T18" s="5"/>
      <c r="V18" s="5"/>
      <c r="W18" s="5"/>
      <c r="X18" s="5"/>
      <c r="Y18" s="5"/>
      <c r="Z18" s="5"/>
    </row>
    <row r="19" spans="2:26" x14ac:dyDescent="0.3">
      <c r="B19" s="3"/>
      <c r="D19" s="13"/>
      <c r="E19" s="13"/>
      <c r="F19" s="13"/>
      <c r="G19" s="5"/>
      <c r="H19" s="10"/>
      <c r="J19" s="5"/>
      <c r="K19" s="5"/>
      <c r="L19" s="5"/>
      <c r="M19" s="5"/>
      <c r="N19" s="5"/>
      <c r="P19" s="5"/>
      <c r="Q19" s="5"/>
      <c r="R19" s="5"/>
      <c r="S19" s="5"/>
      <c r="T19" s="5"/>
      <c r="V19" s="5"/>
      <c r="W19" s="5"/>
      <c r="X19" s="5"/>
      <c r="Y19" s="5"/>
      <c r="Z19" s="5"/>
    </row>
    <row r="20" spans="2:26" x14ac:dyDescent="0.3">
      <c r="B20" s="4" t="s">
        <v>6</v>
      </c>
      <c r="D20" s="13">
        <v>12889.3</v>
      </c>
      <c r="E20" s="13"/>
      <c r="F20" s="13">
        <v>73.599999999999994</v>
      </c>
      <c r="G20" s="5"/>
      <c r="H20" s="10">
        <f t="shared" si="0"/>
        <v>12962.9</v>
      </c>
      <c r="J20" s="5"/>
      <c r="K20" s="5"/>
      <c r="L20" s="5"/>
      <c r="M20" s="5"/>
      <c r="N20" s="5"/>
      <c r="P20" s="5"/>
      <c r="Q20" s="5"/>
      <c r="R20" s="5"/>
      <c r="S20" s="5"/>
      <c r="T20" s="5"/>
      <c r="V20" s="5"/>
      <c r="W20" s="5"/>
      <c r="X20" s="5"/>
      <c r="Y20" s="5"/>
      <c r="Z20" s="5"/>
    </row>
    <row r="21" spans="2:26" x14ac:dyDescent="0.3">
      <c r="D21" s="13"/>
      <c r="E21" s="13"/>
      <c r="F21" s="13"/>
      <c r="G21" s="5"/>
      <c r="H21" s="5"/>
    </row>
    <row r="22" spans="2:26" x14ac:dyDescent="0.3">
      <c r="E22" s="14"/>
      <c r="F22" s="14"/>
    </row>
    <row r="23" spans="2:26" x14ac:dyDescent="0.3">
      <c r="F23" s="14"/>
    </row>
    <row r="24" spans="2:26" x14ac:dyDescent="0.3">
      <c r="F24" s="14"/>
    </row>
  </sheetData>
  <mergeCells count="3">
    <mergeCell ref="J1:N1"/>
    <mergeCell ref="P1:T1"/>
    <mergeCell ref="V1:Z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F1028-7885-4088-927F-12DA129BFC25}">
  <dimension ref="A2:E9"/>
  <sheetViews>
    <sheetView workbookViewId="0">
      <selection activeCell="E9" sqref="E9"/>
    </sheetView>
  </sheetViews>
  <sheetFormatPr defaultRowHeight="14.4" x14ac:dyDescent="0.3"/>
  <cols>
    <col min="1" max="1" width="49.5546875" customWidth="1"/>
  </cols>
  <sheetData>
    <row r="2" spans="1:5" ht="18" x14ac:dyDescent="0.35">
      <c r="A2" s="7" t="s">
        <v>13</v>
      </c>
      <c r="B2" s="1" t="s">
        <v>15</v>
      </c>
      <c r="C2" s="1" t="s">
        <v>16</v>
      </c>
      <c r="D2" s="1" t="s">
        <v>17</v>
      </c>
    </row>
    <row r="3" spans="1:5" x14ac:dyDescent="0.3">
      <c r="A3" t="s">
        <v>18</v>
      </c>
      <c r="B3">
        <v>100</v>
      </c>
      <c r="C3">
        <v>100</v>
      </c>
    </row>
    <row r="4" spans="1:5" x14ac:dyDescent="0.3">
      <c r="A4" t="s">
        <v>19</v>
      </c>
      <c r="B4" s="2"/>
      <c r="C4" s="2">
        <v>35</v>
      </c>
      <c r="D4" s="2">
        <v>35</v>
      </c>
    </row>
    <row r="5" spans="1:5" x14ac:dyDescent="0.3">
      <c r="A5" t="s">
        <v>20</v>
      </c>
      <c r="B5" s="17"/>
      <c r="C5" s="17">
        <v>180</v>
      </c>
      <c r="D5" s="17">
        <v>15</v>
      </c>
    </row>
    <row r="6" spans="1:5" x14ac:dyDescent="0.3">
      <c r="B6" s="16">
        <f>SUM(B3:B5)</f>
        <v>100</v>
      </c>
      <c r="C6" s="16">
        <f>SUM(C3:C5)</f>
        <v>315</v>
      </c>
      <c r="D6" s="16">
        <f>SUM(D4:D5)</f>
        <v>50</v>
      </c>
      <c r="E6" s="6">
        <f>SUM(B6:D6)</f>
        <v>465</v>
      </c>
    </row>
    <row r="7" spans="1:5" x14ac:dyDescent="0.3">
      <c r="E7" s="15"/>
    </row>
    <row r="8" spans="1:5" ht="18" x14ac:dyDescent="0.35">
      <c r="A8" s="8" t="s">
        <v>14</v>
      </c>
    </row>
    <row r="9" spans="1:5" x14ac:dyDescent="0.3">
      <c r="A9" s="9"/>
      <c r="E9" s="6">
        <f>SUM(B9:D9)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Konsoliderat Q1 2026</vt:lpstr>
      <vt:lpstr>Extraordinära kostnader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Kyrk</dc:creator>
  <cp:lastModifiedBy>Martin Kyrk</cp:lastModifiedBy>
  <dcterms:created xsi:type="dcterms:W3CDTF">2022-10-14T12:58:00Z</dcterms:created>
  <dcterms:modified xsi:type="dcterms:W3CDTF">2026-05-05T12:05:34Z</dcterms:modified>
</cp:coreProperties>
</file>