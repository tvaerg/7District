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irolit365.sharepoint.com/sites/AirolitAB/Delade dokument/110_Ekonomi/Rapportering/Extern rapportering/7DD/Kvartalsrapporter/2026 Q1/"/>
    </mc:Choice>
  </mc:AlternateContent>
  <xr:revisionPtr revIDLastSave="23" documentId="13_ncr:1_{6E2E6F10-DCB7-4A14-B348-BB9CD2742E70}" xr6:coauthVersionLast="47" xr6:coauthVersionMax="47" xr10:uidLastSave="{01C38D6F-A047-4A06-9EDC-8F3621363C78}"/>
  <bookViews>
    <workbookView xWindow="-120" yWindow="-120" windowWidth="29040" windowHeight="15720" xr2:uid="{9B5B0086-1014-3544-9189-DB0CD1AE718C}"/>
  </bookViews>
  <sheets>
    <sheet name="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13" i="1" l="1"/>
  <c r="AC10" i="1"/>
  <c r="AC33" i="1" l="1"/>
  <c r="AC32" i="1"/>
  <c r="AC31" i="1"/>
  <c r="AC29" i="1"/>
  <c r="AC28" i="1"/>
  <c r="AC27" i="1"/>
  <c r="AC25" i="1"/>
  <c r="AC14" i="1" l="1"/>
  <c r="AC16" i="1" s="1"/>
  <c r="AC30" i="1" s="1"/>
  <c r="AC12" i="1"/>
  <c r="AC26" i="1" s="1"/>
  <c r="AB13" i="1"/>
  <c r="AB27" i="1"/>
  <c r="AB10" i="1"/>
  <c r="X25" i="1"/>
  <c r="Y25" i="1"/>
  <c r="Z25" i="1"/>
  <c r="AA25" i="1"/>
  <c r="AB25" i="1"/>
  <c r="AB33" i="1"/>
  <c r="AB32" i="1"/>
  <c r="AB31" i="1"/>
  <c r="AB29" i="1"/>
  <c r="AB14" i="1" l="1"/>
  <c r="AB28" i="1" s="1"/>
  <c r="AB16" i="1"/>
  <c r="AB30" i="1" s="1"/>
  <c r="AB12" i="1"/>
  <c r="AA33" i="1"/>
  <c r="AA32" i="1"/>
  <c r="AA31" i="1"/>
  <c r="AA29" i="1"/>
  <c r="AA14" i="1"/>
  <c r="AA28" i="1" s="1"/>
  <c r="AA13" i="1"/>
  <c r="AA12" i="1"/>
  <c r="Z13" i="1"/>
  <c r="Z27" i="1" s="1"/>
  <c r="Z29" i="1"/>
  <c r="Z14" i="1"/>
  <c r="Z28" i="1" s="1"/>
  <c r="Z33" i="1"/>
  <c r="Z32" i="1"/>
  <c r="Z31" i="1"/>
  <c r="Z12" i="1"/>
  <c r="Y27" i="1"/>
  <c r="Y33" i="1"/>
  <c r="Y32" i="1"/>
  <c r="Y31" i="1"/>
  <c r="Y29" i="1"/>
  <c r="Y12" i="1"/>
  <c r="Y14" i="1"/>
  <c r="Y28" i="1" s="1"/>
  <c r="Y16" i="1"/>
  <c r="Y30" i="1" s="1"/>
  <c r="X21" i="1"/>
  <c r="AA16" i="1" l="1"/>
  <c r="AA30" i="1" s="1"/>
  <c r="AA27" i="1"/>
  <c r="Z16" i="1"/>
  <c r="Z30" i="1" s="1"/>
  <c r="X14" i="1"/>
  <c r="X28" i="1" s="1"/>
  <c r="W33" i="1"/>
  <c r="W32" i="1"/>
  <c r="W31" i="1"/>
  <c r="W29" i="1"/>
  <c r="W28" i="1"/>
  <c r="W27" i="1"/>
  <c r="W16" i="1"/>
  <c r="W30" i="1" s="1"/>
  <c r="W12" i="1"/>
  <c r="X33" i="1"/>
  <c r="X32" i="1"/>
  <c r="X31" i="1"/>
  <c r="X29" i="1"/>
  <c r="X27" i="1"/>
  <c r="X16" i="1" l="1"/>
  <c r="X30" i="1" s="1"/>
  <c r="X12" i="1"/>
  <c r="V21" i="1"/>
  <c r="V13" i="1"/>
  <c r="V27" i="1" s="1"/>
  <c r="V10" i="1"/>
  <c r="V12" i="1" s="1"/>
  <c r="V33" i="1"/>
  <c r="V32" i="1"/>
  <c r="V31" i="1"/>
  <c r="V29" i="1"/>
  <c r="V28" i="1"/>
  <c r="U13" i="1"/>
  <c r="U27" i="1" s="1"/>
  <c r="U10" i="1"/>
  <c r="U12" i="1" s="1"/>
  <c r="U33" i="1"/>
  <c r="U32" i="1"/>
  <c r="U31" i="1"/>
  <c r="U29" i="1"/>
  <c r="U28" i="1"/>
  <c r="T29" i="1"/>
  <c r="P27" i="1"/>
  <c r="Q27" i="1"/>
  <c r="M28" i="1"/>
  <c r="N28" i="1"/>
  <c r="O28" i="1"/>
  <c r="P28" i="1"/>
  <c r="Q28" i="1"/>
  <c r="R28" i="1"/>
  <c r="S28" i="1"/>
  <c r="M29" i="1"/>
  <c r="N29" i="1"/>
  <c r="O29" i="1"/>
  <c r="P29" i="1"/>
  <c r="Q29" i="1"/>
  <c r="R29" i="1"/>
  <c r="S29" i="1"/>
  <c r="M31" i="1"/>
  <c r="N31" i="1"/>
  <c r="O31" i="1"/>
  <c r="P31" i="1"/>
  <c r="Q31" i="1"/>
  <c r="R31" i="1"/>
  <c r="S31" i="1"/>
  <c r="T31" i="1"/>
  <c r="M32" i="1"/>
  <c r="N32" i="1"/>
  <c r="O32" i="1"/>
  <c r="P32" i="1"/>
  <c r="Q32" i="1"/>
  <c r="R32" i="1"/>
  <c r="S32" i="1"/>
  <c r="T32" i="1"/>
  <c r="Q33" i="1"/>
  <c r="R33" i="1"/>
  <c r="S33" i="1"/>
  <c r="T33" i="1"/>
  <c r="T21" i="1"/>
  <c r="T14" i="1"/>
  <c r="T28" i="1" s="1"/>
  <c r="T13" i="1"/>
  <c r="T27" i="1" s="1"/>
  <c r="T10" i="1"/>
  <c r="T12" i="1" s="1"/>
  <c r="T9" i="1"/>
  <c r="S10" i="1"/>
  <c r="S12" i="1" s="1"/>
  <c r="S13" i="1"/>
  <c r="S16" i="1" s="1"/>
  <c r="S30" i="1" s="1"/>
  <c r="R13" i="1"/>
  <c r="R16" i="1" s="1"/>
  <c r="R30" i="1" s="1"/>
  <c r="R10" i="1"/>
  <c r="R12" i="1" s="1"/>
  <c r="Q21" i="1"/>
  <c r="Q10" i="1"/>
  <c r="Q12" i="1" s="1"/>
  <c r="Q9" i="1"/>
  <c r="Q16" i="1"/>
  <c r="Q30" i="1" s="1"/>
  <c r="P9" i="1"/>
  <c r="S25" i="1" s="1"/>
  <c r="O13" i="1"/>
  <c r="O27" i="1" s="1"/>
  <c r="O10" i="1"/>
  <c r="O9" i="1"/>
  <c r="R25" i="1" s="1"/>
  <c r="N9" i="1"/>
  <c r="N13" i="1"/>
  <c r="N27" i="1" s="1"/>
  <c r="N10" i="1"/>
  <c r="L10" i="1"/>
  <c r="K10" i="1"/>
  <c r="J10" i="1"/>
  <c r="I10" i="1"/>
  <c r="H10" i="1"/>
  <c r="G10" i="1"/>
  <c r="W25" i="1" l="1"/>
  <c r="V25" i="1"/>
  <c r="U25" i="1"/>
  <c r="T25" i="1"/>
  <c r="AA26" i="1"/>
  <c r="AB26" i="1"/>
  <c r="Q25" i="1"/>
  <c r="Z26" i="1"/>
  <c r="W26" i="1"/>
  <c r="Y26" i="1"/>
  <c r="X26" i="1"/>
  <c r="V26" i="1"/>
  <c r="U26" i="1"/>
  <c r="V16" i="1"/>
  <c r="V30" i="1" s="1"/>
  <c r="U16" i="1"/>
  <c r="U30" i="1" s="1"/>
  <c r="T26" i="1"/>
  <c r="S27" i="1"/>
  <c r="R27" i="1"/>
  <c r="T16" i="1"/>
  <c r="T30" i="1" s="1"/>
  <c r="H14" i="1"/>
  <c r="G14" i="1"/>
  <c r="F14" i="1"/>
  <c r="E14" i="1"/>
  <c r="M13" i="1"/>
  <c r="M27" i="1" s="1"/>
  <c r="L13" i="1"/>
  <c r="K13" i="1"/>
  <c r="J13" i="1"/>
  <c r="I13" i="1"/>
  <c r="H13" i="1"/>
  <c r="G13" i="1"/>
  <c r="F13" i="1"/>
  <c r="E13" i="1"/>
  <c r="M10" i="1"/>
  <c r="M9" i="1"/>
  <c r="P25" i="1" s="1"/>
  <c r="K9" i="1"/>
  <c r="L9" i="1"/>
  <c r="O25" i="1" s="1"/>
  <c r="J9" i="1"/>
  <c r="I9" i="1"/>
  <c r="H9" i="1"/>
  <c r="G9" i="1"/>
  <c r="F10" i="1"/>
  <c r="F9" i="1"/>
  <c r="E10" i="1"/>
  <c r="E9" i="1"/>
  <c r="L25" i="1" l="1"/>
  <c r="M25" i="1"/>
  <c r="N25" i="1"/>
  <c r="J46" i="1"/>
  <c r="K46" i="1" s="1"/>
  <c r="I46" i="1"/>
  <c r="F46" i="1"/>
  <c r="AF15" i="1" s="1"/>
  <c r="K45" i="1"/>
  <c r="H45" i="1"/>
  <c r="F45" i="1"/>
  <c r="AF14" i="1" s="1"/>
  <c r="J44" i="1"/>
  <c r="AG13" i="1" s="1"/>
  <c r="I43" i="1"/>
  <c r="K43" i="1" s="1"/>
  <c r="J42" i="1"/>
  <c r="K42" i="1" s="1"/>
  <c r="F42" i="1"/>
  <c r="AF12" i="1" s="1"/>
  <c r="P41" i="1"/>
  <c r="K41" i="1"/>
  <c r="J40" i="1"/>
  <c r="K40" i="1" s="1"/>
  <c r="P39" i="1"/>
  <c r="O39" i="1"/>
  <c r="N39" i="1"/>
  <c r="L40" i="1" s="1"/>
  <c r="N40" i="1" s="1"/>
  <c r="L41" i="1" s="1"/>
  <c r="N41" i="1" s="1"/>
  <c r="L42" i="1" s="1"/>
  <c r="N42" i="1" s="1"/>
  <c r="L43" i="1" s="1"/>
  <c r="N43" i="1" s="1"/>
  <c r="L44" i="1" s="1"/>
  <c r="N44" i="1" s="1"/>
  <c r="L45" i="1" s="1"/>
  <c r="N45" i="1" s="1"/>
  <c r="L46" i="1" s="1"/>
  <c r="N46" i="1" s="1"/>
  <c r="J53" i="1" s="1"/>
  <c r="J39" i="1"/>
  <c r="AD38" i="1"/>
  <c r="P38" i="1"/>
  <c r="O38" i="1"/>
  <c r="I33" i="1"/>
  <c r="H33" i="1"/>
  <c r="C33" i="1"/>
  <c r="L32" i="1"/>
  <c r="K32" i="1"/>
  <c r="J32" i="1"/>
  <c r="I32" i="1"/>
  <c r="H32" i="1"/>
  <c r="C32" i="1"/>
  <c r="L31" i="1"/>
  <c r="K31" i="1"/>
  <c r="J31" i="1"/>
  <c r="I31" i="1"/>
  <c r="H31" i="1"/>
  <c r="C31" i="1"/>
  <c r="C30" i="1"/>
  <c r="L29" i="1"/>
  <c r="K29" i="1"/>
  <c r="J29" i="1"/>
  <c r="I29" i="1"/>
  <c r="H29" i="1"/>
  <c r="C29" i="1"/>
  <c r="L28" i="1"/>
  <c r="K28" i="1"/>
  <c r="J28" i="1"/>
  <c r="I28" i="1"/>
  <c r="H28" i="1"/>
  <c r="C28" i="1"/>
  <c r="L27" i="1"/>
  <c r="K27" i="1"/>
  <c r="J27" i="1"/>
  <c r="I27" i="1"/>
  <c r="H27" i="1"/>
  <c r="C27" i="1"/>
  <c r="C26" i="1"/>
  <c r="K25" i="1"/>
  <c r="J25" i="1"/>
  <c r="I25" i="1"/>
  <c r="H25" i="1"/>
  <c r="C25" i="1"/>
  <c r="P19" i="1"/>
  <c r="P33" i="1" s="1"/>
  <c r="O19" i="1"/>
  <c r="O33" i="1" s="1"/>
  <c r="N19" i="1"/>
  <c r="N33" i="1" s="1"/>
  <c r="M19" i="1"/>
  <c r="M33" i="1" s="1"/>
  <c r="L19" i="1"/>
  <c r="L33" i="1" s="1"/>
  <c r="K19" i="1"/>
  <c r="K33" i="1" s="1"/>
  <c r="J19" i="1"/>
  <c r="J33" i="1" s="1"/>
  <c r="P16" i="1"/>
  <c r="P30" i="1" s="1"/>
  <c r="O16" i="1"/>
  <c r="O30" i="1" s="1"/>
  <c r="N16" i="1"/>
  <c r="N30" i="1" s="1"/>
  <c r="M16" i="1"/>
  <c r="M30" i="1" s="1"/>
  <c r="L16" i="1"/>
  <c r="L30" i="1" s="1"/>
  <c r="K16" i="1"/>
  <c r="K30" i="1" s="1"/>
  <c r="J16" i="1"/>
  <c r="J30" i="1" s="1"/>
  <c r="I16" i="1"/>
  <c r="I30" i="1" s="1"/>
  <c r="H16" i="1"/>
  <c r="H30" i="1" s="1"/>
  <c r="G16" i="1"/>
  <c r="F16" i="1"/>
  <c r="E16" i="1"/>
  <c r="AE15" i="1"/>
  <c r="AG14" i="1"/>
  <c r="AE14" i="1"/>
  <c r="AF13" i="1"/>
  <c r="AE13" i="1"/>
  <c r="AE12" i="1"/>
  <c r="P12" i="1"/>
  <c r="S26" i="1" s="1"/>
  <c r="O12" i="1"/>
  <c r="R26" i="1" s="1"/>
  <c r="N12" i="1"/>
  <c r="Q26" i="1" s="1"/>
  <c r="M12" i="1"/>
  <c r="L12" i="1"/>
  <c r="O26" i="1" s="1"/>
  <c r="K12" i="1"/>
  <c r="J12" i="1"/>
  <c r="I12" i="1"/>
  <c r="H12" i="1"/>
  <c r="G12" i="1"/>
  <c r="F12" i="1"/>
  <c r="E12" i="1"/>
  <c r="AG11" i="1"/>
  <c r="AF11" i="1"/>
  <c r="AE11" i="1"/>
  <c r="AF10" i="1"/>
  <c r="AE10" i="1"/>
  <c r="AG9" i="1"/>
  <c r="AF9" i="1"/>
  <c r="AE9" i="1"/>
  <c r="P26" i="1" l="1"/>
  <c r="N26" i="1"/>
  <c r="M26" i="1"/>
  <c r="AG15" i="1"/>
  <c r="AG12" i="1"/>
  <c r="I26" i="1"/>
  <c r="J26" i="1"/>
  <c r="H26" i="1"/>
  <c r="L26" i="1"/>
  <c r="AD39" i="1"/>
  <c r="O40" i="1" s="1"/>
  <c r="AD40" i="1" s="1"/>
  <c r="AE40" i="1" s="1"/>
  <c r="AF40" i="1" s="1"/>
  <c r="AG10" i="1"/>
  <c r="J47" i="1"/>
  <c r="K44" i="1"/>
  <c r="K47" i="1" s="1"/>
  <c r="K26" i="1"/>
  <c r="I47" i="1"/>
  <c r="AG16" i="1" l="1"/>
  <c r="AJ9" i="1" s="1"/>
  <c r="AL9" i="1" s="1"/>
  <c r="AE39" i="1"/>
  <c r="AF39" i="1" s="1"/>
  <c r="O41" i="1"/>
  <c r="AD41" i="1" s="1"/>
  <c r="O42" i="1" s="1"/>
  <c r="AD42" i="1" s="1"/>
  <c r="AE41" i="1" l="1"/>
  <c r="AF41" i="1" s="1"/>
  <c r="O43" i="1"/>
  <c r="AD43" i="1" s="1"/>
  <c r="AE42" i="1"/>
  <c r="AF42" i="1" s="1"/>
  <c r="O44" i="1" l="1"/>
  <c r="AD44" i="1" s="1"/>
  <c r="AE43" i="1"/>
  <c r="AF43" i="1" s="1"/>
  <c r="AE44" i="1" l="1"/>
  <c r="AF44" i="1" s="1"/>
  <c r="O45" i="1"/>
  <c r="AD45" i="1" s="1"/>
  <c r="O46" i="1" l="1"/>
  <c r="AE45" i="1"/>
  <c r="AF45" i="1" s="1"/>
  <c r="AD46" i="1" l="1"/>
  <c r="O47" i="1"/>
  <c r="AD47" i="1" l="1"/>
  <c r="H47" i="1" s="1"/>
  <c r="AE46" i="1"/>
  <c r="AF46" i="1" s="1"/>
  <c r="K53" i="1" s="1"/>
  <c r="L5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tc={F43B0257-113A-C243-A40D-8B30216E6ABB}</author>
    <author>tc={7F7FDC74-27D7-E148-96F0-3C217993BA57}</author>
  </authors>
  <commentList>
    <comment ref="G42" authorId="0" shapeId="0" xr:uid="{F43B0257-113A-C243-A40D-8B30216E6ABB}">
      <text>
        <t>[Threaded comment]
Your version of Excel allows you to read this threaded comment; however, any edits to it will get removed if the file is opened in a newer version of Excel. Learn more: https://go.microsoft.com/fwlink/?linkid=870924
Comment:
    We sold at nominal value so that Stefan et al could come in at 333</t>
      </text>
    </comment>
    <comment ref="H44" authorId="1" shapeId="0" xr:uid="{7F7FDC74-27D7-E148-96F0-3C217993BA57}">
      <text>
        <t>[Threaded comment]
Your version of Excel allows you to read this threaded comment; however, any edits to it will get removed if the file is opened in a newer version of Excel. Learn more: https://go.microsoft.com/fwlink/?linkid=870924
Comment:
    We acquired shares in in and Acre and IA for SEK 850,000 but the value was never allocated between the two. Here we assume nominal value</t>
      </text>
    </comment>
  </commentList>
</comments>
</file>

<file path=xl/sharedStrings.xml><?xml version="1.0" encoding="utf-8"?>
<sst xmlns="http://schemas.openxmlformats.org/spreadsheetml/2006/main" count="108" uniqueCount="91">
  <si>
    <t>Intelligent Aerial</t>
  </si>
  <si>
    <t>Dec YE</t>
  </si>
  <si>
    <t>PS</t>
  </si>
  <si>
    <t>QUARTERLY DATA</t>
  </si>
  <si>
    <t>Key Quarterly Data</t>
  </si>
  <si>
    <t>1Q20</t>
  </si>
  <si>
    <t>2Q20</t>
  </si>
  <si>
    <t>3Q20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</si>
  <si>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</si>
  <si>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</si>
  <si>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</si>
  <si>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</si>
  <si>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</si>
  <si>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</si>
  <si>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</si>
  <si>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</si>
  <si>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</si>
  <si>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Date</t>
  </si>
  <si>
    <t>Description</t>
  </si>
  <si>
    <t>Amount</t>
  </si>
  <si>
    <t>7DD</t>
  </si>
  <si>
    <t>Pre-roll</t>
  </si>
  <si>
    <t>Total</t>
  </si>
  <si>
    <t>Revenue</t>
  </si>
  <si>
    <t>EBITDA</t>
  </si>
  <si>
    <t>Adjustments</t>
  </si>
  <si>
    <t>Adjusted EBITDA</t>
  </si>
  <si>
    <t>Cash and Equivalents</t>
  </si>
  <si>
    <t>Financial Debt</t>
  </si>
  <si>
    <t>Debt Like Items (tex convertibles / shareholder loans)</t>
  </si>
  <si>
    <t>Net Cash</t>
  </si>
  <si>
    <t>of which Debt to 7dd (tex Convertibles / Shareholder loans)</t>
  </si>
  <si>
    <t>Deferred Consideration</t>
  </si>
  <si>
    <t>Net Preferred / Convertible</t>
  </si>
  <si>
    <t>Other Metrics</t>
  </si>
  <si>
    <t>Order Book</t>
  </si>
  <si>
    <t>Anything else?</t>
  </si>
  <si>
    <t>LTM</t>
  </si>
  <si>
    <t>OWNERSHIP DEVELOPMENT</t>
  </si>
  <si>
    <t>Amount (SEK000)</t>
  </si>
  <si>
    <t>Shares Outstaning in IA</t>
  </si>
  <si>
    <t>7DD Shares in IA</t>
  </si>
  <si>
    <t>IA Ownership</t>
  </si>
  <si>
    <t>Event</t>
  </si>
  <si>
    <t>Type</t>
  </si>
  <si>
    <t>Price per Share</t>
  </si>
  <si>
    <t>Invested in IA</t>
  </si>
  <si>
    <t xml:space="preserve">7DD </t>
  </si>
  <si>
    <t>Other</t>
  </si>
  <si>
    <t>Pre</t>
  </si>
  <si>
    <t>Change</t>
  </si>
  <si>
    <t>Post</t>
  </si>
  <si>
    <t>A</t>
  </si>
  <si>
    <t>Primary</t>
  </si>
  <si>
    <t>IA Established</t>
  </si>
  <si>
    <t>Secondary</t>
  </si>
  <si>
    <t>7DD sale</t>
  </si>
  <si>
    <t>B</t>
  </si>
  <si>
    <t>3-4</t>
  </si>
  <si>
    <t>Rights issue</t>
  </si>
  <si>
    <t>C</t>
  </si>
  <si>
    <t>Energize Sale</t>
  </si>
  <si>
    <t>D</t>
  </si>
  <si>
    <t>7DD Apport</t>
  </si>
  <si>
    <t>VALUATION</t>
  </si>
  <si>
    <t>EV</t>
  </si>
  <si>
    <t>LTM Sales</t>
  </si>
  <si>
    <t>LTM EBITDA</t>
  </si>
  <si>
    <t>x LTM Sales</t>
  </si>
  <si>
    <t>x LTM EBITDA</t>
  </si>
  <si>
    <t>Net Debt /(Cash)</t>
  </si>
  <si>
    <t>Equity Value</t>
  </si>
  <si>
    <t>7DD Share</t>
  </si>
  <si>
    <t>7DD Equity Value</t>
  </si>
  <si>
    <t>Basis</t>
  </si>
  <si>
    <t>Share issue in Dec-21</t>
  </si>
  <si>
    <t xml:space="preserve">   </t>
  </si>
  <si>
    <t xml:space="preserve">  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</si>
  <si>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</si>
  <si>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</si>
  <si>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</si>
  <si>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</si>
  <si>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</si>
  <si>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</si>
  <si>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</si>
  <si>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</si>
  <si>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</si>
  <si>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</si>
  <si>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</si>
  <si>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</si>
  <si>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1Q26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</si>
</sst>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x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0" applyFont="1"/>
    <xf numFmtId="15" fontId="3" fillId="0" borderId="0" xfId="0" applyNumberFormat="1" applyFont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3" fontId="2" fillId="2" borderId="0" xfId="0" applyNumberFormat="1" applyFont="1" applyFill="1" applyAlignment="1">
      <alignment horizontal="center"/>
    </xf>
    <xf numFmtId="3" fontId="0" fillId="2" borderId="0" xfId="0" applyNumberFormat="1" applyFill="1" applyAlignment="1">
      <alignment horizontal="center"/>
    </xf>
    <xf numFmtId="17" fontId="0" fillId="0" borderId="0" xfId="0" applyNumberFormat="1" applyAlignment="1">
      <alignment horizontal="left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3" fontId="3" fillId="0" borderId="0" xfId="0" applyNumberFormat="1" applyFont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4" fillId="0" borderId="0" xfId="0" applyFont="1"/>
    <xf numFmtId="3" fontId="5" fillId="2" borderId="0" xfId="0" applyNumberFormat="1" applyFont="1" applyFill="1" applyAlignment="1">
      <alignment horizontal="center"/>
    </xf>
    <xf numFmtId="3" fontId="4" fillId="2" borderId="0" xfId="0" applyNumberFormat="1" applyFont="1" applyFill="1" applyAlignment="1">
      <alignment horizontal="center"/>
    </xf>
    <xf numFmtId="0" fontId="4" fillId="0" borderId="1" xfId="0" applyFont="1" applyBorder="1"/>
    <xf numFmtId="3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Continuous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horizontal="left" vertical="center" wrapText="1"/>
    </xf>
    <xf numFmtId="15" fontId="0" fillId="0" borderId="0" xfId="0" applyNumberFormat="1" applyAlignment="1">
      <alignment vertical="center" wrapText="1"/>
    </xf>
    <xf numFmtId="3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6" fontId="0" fillId="0" borderId="0" xfId="0" quotePrefix="1" applyNumberFormat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horizontal="left" vertical="center" wrapText="1"/>
    </xf>
    <xf numFmtId="15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3" fillId="0" borderId="2" xfId="0" applyFont="1" applyBorder="1"/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r Skoglund" id="{71157117-EAB1-6543-9126-CC012A5A1912}" userId="S::ps@7dd.se::0312118f-e040-481b-b036-7bbaec9b6b9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2" dT="2021-12-16T09:00:26.63" personId="{71157117-EAB1-6543-9126-CC012A5A1912}" id="{F43B0257-113A-C243-A40D-8B30216E6ABB}">
    <text>We sold at nominal value so that Stefan et al could come in at 333</text>
  </threadedComment>
  <threadedComment ref="H44" dT="2021-12-16T08:58:38.93" personId="{71157117-EAB1-6543-9126-CC012A5A1912}" id="{7F7FDC74-27D7-E148-96F0-3C217993BA57}">
    <text>We acquired shares in in and Acre and IA for SEK 850,000 but the value was never allocated between the two. Here we assume nominal value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6CD76-A517-094C-9012-C65CD327CD74}">
  <dimension ref="C1:AL79"/>
  <sheetViews>
    <sheetView tabSelected="1" zoomScale="85" zoomScaleNormal="85" workbookViewId="0">
      <pane xSplit="4" ySplit="1" topLeftCell="O2" activePane="bottomRight" state="frozen"/>
      <selection pane="topRight" activeCell="E1" sqref="E1"/>
      <selection pane="bottomLeft" activeCell="A2" sqref="A2"/>
      <selection pane="bottomRight" activeCell="AC10" sqref="AC10"/>
    </sheetView>
  </sheetViews>
  <sheetFormatPr defaultColWidth="11" defaultRowHeight="15.5" outlineLevelRow="1" x14ac:dyDescent="0.35"/>
  <cols>
    <col min="1" max="2" width="4.33203125" customWidth="1"/>
    <col min="3" max="23" width="12.83203125" customWidth="1"/>
    <col min="24" max="29" width="15.33203125" customWidth="1"/>
    <col min="30" max="31" width="12.83203125" customWidth="1"/>
    <col min="33" max="33" width="10.83203125" customWidth="1"/>
  </cols>
  <sheetData>
    <row r="1" spans="3:38" x14ac:dyDescent="0.35">
      <c r="C1" s="1" t="s">
        <v>0</v>
      </c>
      <c r="F1" s="1"/>
    </row>
    <row r="2" spans="3:38" x14ac:dyDescent="0.35">
      <c r="C2" s="1" t="s">
        <v>1</v>
      </c>
      <c r="F2" s="1"/>
    </row>
    <row r="3" spans="3:38" x14ac:dyDescent="0.35">
      <c r="C3" s="2">
        <v>44651</v>
      </c>
      <c r="F3" s="1"/>
    </row>
    <row r="4" spans="3:38" x14ac:dyDescent="0.35">
      <c r="C4" s="1" t="s">
        <v>2</v>
      </c>
      <c r="F4" s="1"/>
    </row>
    <row r="5" spans="3:38" x14ac:dyDescent="0.35">
      <c r="F5" s="1"/>
    </row>
    <row r="6" spans="3:38" x14ac:dyDescent="0.35">
      <c r="C6" s="1" t="s">
        <v>3</v>
      </c>
      <c r="F6" s="1"/>
      <c r="I6" s="50"/>
    </row>
    <row r="7" spans="3:38" outlineLevel="1" x14ac:dyDescent="0.35">
      <c r="C7" s="1"/>
      <c r="F7" s="1"/>
      <c r="I7" s="10"/>
    </row>
    <row r="8" spans="3:38" outlineLevel="1" x14ac:dyDescent="0.35">
      <c r="C8" s="3" t="s">
        <v>4</v>
      </c>
      <c r="E8" s="4" t="s">
        <v>5</v>
      </c>
      <c r="F8" s="4" t="s">
        <v>6</v>
      </c>
      <c r="G8" s="4" t="s">
        <v>7</v>
      </c>
      <c r="H8" s="4" t="s">
        <v>8</v>
      </c>
      <c r="I8" s="4" t="s">
        <v>9</v>
      </c>
      <c r="J8" s="4" t="s">
        <v>10</v>
      </c>
      <c r="K8" s="4" t="s">
        <v>11</v>
      </c>
      <c r="L8" s="4" t="s">
        <v>12</v>
      </c>
      <c r="M8" s="4" t="s">
        <v>13</v>
      </c>
      <c r="N8" s="4" t="s">
        <v>14</v>
      </c>
      <c r="O8" s="4" t="s">
        <v>15</v>
      </c>
      <c r="P8" s="4" t="s">
        <v>16</v>
      </c>
      <c r="Q8" s="4" t="s">
        <v>78</v>
      </c>
      <c r="R8" s="4" t="s">
        <v>79</v>
      </c>
      <c r="S8" s="4" t="s">
        <v>80</v>
      </c>
      <c r="T8" s="4" t="s">
        <v>81</v>
      </c>
      <c r="U8" s="4" t="s">
        <v>82</v>
      </c>
      <c r="V8" s="4" t="s">
        <v>83</v>
      </c>
      <c r="W8" s="4" t="s">
        <v>84</v>
      </c>
      <c r="X8" s="4" t="s">
        <v>85</v>
      </c>
      <c r="Y8" s="4" t="s">
        <v>86</v>
      </c>
      <c r="Z8" s="4" t="s">
        <v>87</v>
      </c>
      <c r="AA8" s="4" t="s">
        <v>88</v>
      </c>
      <c r="AB8" s="4" t="s">
        <v>89</v>
      </c>
      <c r="AC8" s="4" t="s">
        <v>90</v>
      </c>
      <c r="AE8" s="3" t="s">
        <v>17</v>
      </c>
      <c r="AF8" s="3" t="s">
        <v>18</v>
      </c>
      <c r="AG8" s="4" t="s">
        <v>19</v>
      </c>
      <c r="AJ8" s="5" t="s">
        <v>20</v>
      </c>
      <c r="AK8" s="5" t="s">
        <v>21</v>
      </c>
      <c r="AL8" s="5" t="s">
        <v>22</v>
      </c>
    </row>
    <row r="9" spans="3:38" outlineLevel="1" x14ac:dyDescent="0.35">
      <c r="C9" t="s">
        <v>23</v>
      </c>
      <c r="E9" s="6">
        <f>275485+1834549</f>
        <v>2110034</v>
      </c>
      <c r="F9" s="6">
        <f>1931118+2831033</f>
        <v>4762151</v>
      </c>
      <c r="G9" s="6">
        <f>50119+1540364</f>
        <v>1590483</v>
      </c>
      <c r="H9" s="6">
        <f>402832+957329</f>
        <v>1360161</v>
      </c>
      <c r="I9" s="6">
        <f>73895+319831</f>
        <v>393726</v>
      </c>
      <c r="J9" s="6">
        <f>932793+1061795</f>
        <v>1994588</v>
      </c>
      <c r="K9" s="6">
        <f>701640+134645</f>
        <v>836285</v>
      </c>
      <c r="L9" s="6">
        <f>466120+1272373</f>
        <v>1738493</v>
      </c>
      <c r="M9" s="7">
        <f>549665+1030198</f>
        <v>1579863</v>
      </c>
      <c r="N9" s="7">
        <f>58404+318124</f>
        <v>376528</v>
      </c>
      <c r="O9" s="7">
        <f>49898+744166</f>
        <v>794064</v>
      </c>
      <c r="P9" s="7">
        <f>1215991+277396</f>
        <v>1493387</v>
      </c>
      <c r="Q9" s="7">
        <f>487679</f>
        <v>487679</v>
      </c>
      <c r="R9" s="7">
        <v>259833</v>
      </c>
      <c r="S9" s="7">
        <v>1316986</v>
      </c>
      <c r="T9" s="7">
        <f>2845641</f>
        <v>2845641</v>
      </c>
      <c r="U9" s="7">
        <v>1140633</v>
      </c>
      <c r="V9" s="7">
        <v>996074</v>
      </c>
      <c r="W9" s="7">
        <v>819108</v>
      </c>
      <c r="X9" s="7">
        <v>9122674</v>
      </c>
      <c r="Y9" s="7">
        <v>10550194</v>
      </c>
      <c r="Z9" s="7">
        <v>3969705</v>
      </c>
      <c r="AA9" s="7">
        <v>2242896</v>
      </c>
      <c r="AB9" s="7">
        <v>5468151</v>
      </c>
      <c r="AC9" s="7">
        <v>13075161</v>
      </c>
      <c r="AE9" s="8">
        <f t="shared" ref="AE9:AF12" si="0">E39</f>
        <v>43805</v>
      </c>
      <c r="AF9" s="8" t="str">
        <f t="shared" si="0"/>
        <v>Primary</v>
      </c>
      <c r="AG9" s="9">
        <f>-J39</f>
        <v>-50</v>
      </c>
      <c r="AJ9" s="9">
        <f>-AG16-J45</f>
        <v>11052.5</v>
      </c>
      <c r="AL9" s="10">
        <f>AJ9+AK9</f>
        <v>11052.5</v>
      </c>
    </row>
    <row r="10" spans="3:38" outlineLevel="1" x14ac:dyDescent="0.35">
      <c r="C10" t="s">
        <v>24</v>
      </c>
      <c r="E10" s="6">
        <f>-163236+-551696</f>
        <v>-714932</v>
      </c>
      <c r="F10" s="6">
        <f>-655243+1220493</f>
        <v>565250</v>
      </c>
      <c r="G10" s="6">
        <f>-281766+-355031-117450</f>
        <v>-754247</v>
      </c>
      <c r="H10" s="6">
        <f>-225926+-279084-53191</f>
        <v>-558201</v>
      </c>
      <c r="I10" s="6">
        <f>39979+-1675645-100</f>
        <v>-1635766</v>
      </c>
      <c r="J10" s="6">
        <f>-1184274+178346-10300</f>
        <v>-1016228</v>
      </c>
      <c r="K10" s="6">
        <f>-1228090+68738-300</f>
        <v>-1159652</v>
      </c>
      <c r="L10" s="6">
        <f>-1141028+12537-10680</f>
        <v>-1139171</v>
      </c>
      <c r="M10" s="7">
        <f>141970+-1541831</f>
        <v>-1399861</v>
      </c>
      <c r="N10" s="7">
        <f>-2132129-220862.76-10000</f>
        <v>-2362991.7599999998</v>
      </c>
      <c r="O10" s="7">
        <f>176804-2182898+8720</f>
        <v>-1997374</v>
      </c>
      <c r="P10" s="7">
        <v>-1575102</v>
      </c>
      <c r="Q10" s="7">
        <f>-920+-2294953-127385</f>
        <v>-2423258</v>
      </c>
      <c r="R10" s="7">
        <f>(-2874345+87705)-21248</f>
        <v>-2807888</v>
      </c>
      <c r="S10" s="7">
        <f>-934508-215</f>
        <v>-934723</v>
      </c>
      <c r="T10" s="7">
        <f>-1549842-2490</f>
        <v>-1552332</v>
      </c>
      <c r="U10" s="7">
        <f>-2979541-1760</f>
        <v>-2981301</v>
      </c>
      <c r="V10" s="7">
        <f>-2940014-800</f>
        <v>-2940814</v>
      </c>
      <c r="W10" s="7">
        <v>-2587275</v>
      </c>
      <c r="X10" s="7">
        <v>-265424</v>
      </c>
      <c r="Y10" s="7">
        <v>-693818</v>
      </c>
      <c r="Z10" s="7">
        <v>-6411605</v>
      </c>
      <c r="AA10" s="7">
        <v>-7755172</v>
      </c>
      <c r="AB10" s="7">
        <f>7539607-35569-13672-915000</f>
        <v>6575366</v>
      </c>
      <c r="AC10" s="7">
        <f>-572885-12972-127550</f>
        <v>-713407</v>
      </c>
      <c r="AD10" s="11"/>
      <c r="AE10" s="8">
        <f t="shared" si="0"/>
        <v>43819</v>
      </c>
      <c r="AF10" s="8" t="str">
        <f t="shared" si="0"/>
        <v>Secondary</v>
      </c>
      <c r="AG10" s="9">
        <f>-J40</f>
        <v>33.75</v>
      </c>
      <c r="AH10" s="12"/>
    </row>
    <row r="11" spans="3:38" outlineLevel="1" x14ac:dyDescent="0.35">
      <c r="C11" t="s">
        <v>25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E11" s="8">
        <f t="shared" si="0"/>
        <v>43882</v>
      </c>
      <c r="AF11" s="8" t="str">
        <f t="shared" si="0"/>
        <v>Primary</v>
      </c>
      <c r="AG11" s="9">
        <f>-J41</f>
        <v>-5000</v>
      </c>
      <c r="AH11" s="12"/>
    </row>
    <row r="12" spans="3:38" outlineLevel="1" x14ac:dyDescent="0.35">
      <c r="C12" t="s">
        <v>26</v>
      </c>
      <c r="E12" s="9">
        <f>E10+E11</f>
        <v>-714932</v>
      </c>
      <c r="F12" s="9">
        <f t="shared" ref="F12:Q12" si="1">F10+F11</f>
        <v>565250</v>
      </c>
      <c r="G12" s="9">
        <f t="shared" si="1"/>
        <v>-754247</v>
      </c>
      <c r="H12" s="9">
        <f t="shared" si="1"/>
        <v>-558201</v>
      </c>
      <c r="I12" s="9">
        <f t="shared" si="1"/>
        <v>-1635766</v>
      </c>
      <c r="J12" s="9">
        <f t="shared" si="1"/>
        <v>-1016228</v>
      </c>
      <c r="K12" s="9">
        <f t="shared" si="1"/>
        <v>-1159652</v>
      </c>
      <c r="L12" s="9">
        <f t="shared" si="1"/>
        <v>-1139171</v>
      </c>
      <c r="M12" s="9">
        <f t="shared" si="1"/>
        <v>-1399861</v>
      </c>
      <c r="N12" s="9">
        <f t="shared" si="1"/>
        <v>-2362991.7599999998</v>
      </c>
      <c r="O12" s="9">
        <f t="shared" si="1"/>
        <v>-1997374</v>
      </c>
      <c r="P12" s="9">
        <f t="shared" si="1"/>
        <v>-1575102</v>
      </c>
      <c r="Q12" s="9">
        <f t="shared" si="1"/>
        <v>-2423258</v>
      </c>
      <c r="R12" s="9">
        <f t="shared" ref="R12:U12" si="2">R10+R11</f>
        <v>-2807888</v>
      </c>
      <c r="S12" s="9">
        <f t="shared" si="2"/>
        <v>-934723</v>
      </c>
      <c r="T12" s="9">
        <f t="shared" si="2"/>
        <v>-1552332</v>
      </c>
      <c r="U12" s="9">
        <f t="shared" si="2"/>
        <v>-2981301</v>
      </c>
      <c r="V12" s="9">
        <f t="shared" ref="V12:Y12" si="3">V10+V11</f>
        <v>-2940814</v>
      </c>
      <c r="W12" s="9">
        <f t="shared" ref="W12" si="4">W10+W11</f>
        <v>-2587275</v>
      </c>
      <c r="X12" s="9">
        <f t="shared" si="3"/>
        <v>-265424</v>
      </c>
      <c r="Y12" s="9">
        <f t="shared" si="3"/>
        <v>-693818</v>
      </c>
      <c r="Z12" s="9">
        <f t="shared" ref="Z12:AC12" si="5">Z10+Z11</f>
        <v>-6411605</v>
      </c>
      <c r="AA12" s="9">
        <f t="shared" si="5"/>
        <v>-7755172</v>
      </c>
      <c r="AB12" s="9">
        <f t="shared" si="5"/>
        <v>6575366</v>
      </c>
      <c r="AC12" s="9">
        <f t="shared" si="5"/>
        <v>-713407</v>
      </c>
      <c r="AE12" s="8">
        <f t="shared" si="0"/>
        <v>43882</v>
      </c>
      <c r="AF12" s="8" t="str">
        <f t="shared" si="0"/>
        <v>Secondary</v>
      </c>
      <c r="AG12" s="9">
        <f>-J42</f>
        <v>1.75</v>
      </c>
    </row>
    <row r="13" spans="3:38" outlineLevel="1" x14ac:dyDescent="0.35">
      <c r="C13" t="s">
        <v>27</v>
      </c>
      <c r="E13" s="6">
        <f>206863+132653+4946600</f>
        <v>5286116</v>
      </c>
      <c r="F13" s="6">
        <f>114151+173390+7329313</f>
        <v>7616854</v>
      </c>
      <c r="G13" s="6">
        <f>457924-578474+7666250</f>
        <v>7545700</v>
      </c>
      <c r="H13" s="6">
        <f>528063+171554+6900032</f>
        <v>7599649</v>
      </c>
      <c r="I13" s="6">
        <f>341093+506515+4999910</f>
        <v>5847518</v>
      </c>
      <c r="J13" s="6">
        <f>342748+595551+3499610</f>
        <v>4437909</v>
      </c>
      <c r="K13" s="6">
        <f>654685+878766+1499410</f>
        <v>3032861</v>
      </c>
      <c r="L13" s="6">
        <f>188628+382413+499410</f>
        <v>1070451</v>
      </c>
      <c r="M13" s="7">
        <f>1481060+2698624+967283</f>
        <v>5146967</v>
      </c>
      <c r="N13" s="7">
        <f>59126+9931060+1010086</f>
        <v>11000272</v>
      </c>
      <c r="O13" s="7">
        <f>770104.61+6929780+1081790.44</f>
        <v>8781675.0500000007</v>
      </c>
      <c r="P13" s="7">
        <v>7236068</v>
      </c>
      <c r="Q13" s="7">
        <v>4415387</v>
      </c>
      <c r="R13" s="7">
        <f>7702777+702350</f>
        <v>8405127</v>
      </c>
      <c r="S13" s="7">
        <f>2451000+688302+7669844</f>
        <v>10809146</v>
      </c>
      <c r="T13" s="7">
        <f>178245+9293566</f>
        <v>9471811</v>
      </c>
      <c r="U13" s="7">
        <f>5923971+162193</f>
        <v>6086164</v>
      </c>
      <c r="V13" s="7">
        <f>161393+686481+2000000</f>
        <v>2847874</v>
      </c>
      <c r="W13" s="7">
        <v>3256000</v>
      </c>
      <c r="X13" s="7">
        <v>1332420</v>
      </c>
      <c r="Y13" s="7">
        <v>3230077</v>
      </c>
      <c r="Z13" s="7">
        <f>8582142+538000</f>
        <v>9120142</v>
      </c>
      <c r="AA13" s="7">
        <f>2935303+5865775</f>
        <v>8801078</v>
      </c>
      <c r="AB13" s="7">
        <f>2772441+149088+449654</f>
        <v>3371183</v>
      </c>
      <c r="AC13" s="7">
        <f>8840166+147+14</f>
        <v>8840327</v>
      </c>
      <c r="AD13" s="10"/>
      <c r="AE13" s="8">
        <f t="shared" ref="AE13:AF15" si="6">E44</f>
        <v>44368</v>
      </c>
      <c r="AF13" s="8" t="str">
        <f t="shared" si="6"/>
        <v>Secondary</v>
      </c>
      <c r="AG13" s="9">
        <f>-J44</f>
        <v>-3378</v>
      </c>
    </row>
    <row r="14" spans="3:38" outlineLevel="1" x14ac:dyDescent="0.35">
      <c r="C14" t="s">
        <v>28</v>
      </c>
      <c r="E14" s="6">
        <f>-416670-416670</f>
        <v>-833340</v>
      </c>
      <c r="F14" s="6">
        <f>-391671*2</f>
        <v>-783342</v>
      </c>
      <c r="G14" s="6">
        <f>-366672*2</f>
        <v>-733344</v>
      </c>
      <c r="H14" s="6">
        <f>-341673-366672</f>
        <v>-708345</v>
      </c>
      <c r="I14" s="6">
        <v>-316674</v>
      </c>
      <c r="J14" s="6">
        <v>-291675</v>
      </c>
      <c r="K14" s="6">
        <v>-266676</v>
      </c>
      <c r="L14" s="6">
        <v>-241677</v>
      </c>
      <c r="M14" s="6">
        <v>-216678</v>
      </c>
      <c r="N14" s="7">
        <v>-191679</v>
      </c>
      <c r="O14" s="7">
        <v>-166680</v>
      </c>
      <c r="P14" s="7">
        <v>-141681</v>
      </c>
      <c r="Q14" s="7">
        <v>-116682</v>
      </c>
      <c r="R14" s="7">
        <v>-91683</v>
      </c>
      <c r="S14" s="7">
        <v>-566684</v>
      </c>
      <c r="T14" s="7">
        <f>-500000-41685</f>
        <v>-541685</v>
      </c>
      <c r="U14" s="7">
        <v>-516686</v>
      </c>
      <c r="V14" s="7">
        <v>-472222</v>
      </c>
      <c r="W14" s="7">
        <v>-4764444</v>
      </c>
      <c r="X14" s="7">
        <f>-4466667-4100000</f>
        <v>-8566667</v>
      </c>
      <c r="Y14" s="7">
        <f>-4162956-1191108-1400000-790000</f>
        <v>-7544064</v>
      </c>
      <c r="Z14" s="7">
        <f>-3871112-1185175-790000</f>
        <v>-5846287</v>
      </c>
      <c r="AA14" s="7">
        <f>-3172367-1191108-790000</f>
        <v>-5153475</v>
      </c>
      <c r="AB14" s="7">
        <f>-3726439-1839259-3000000-790000</f>
        <v>-9355698</v>
      </c>
      <c r="AC14" s="7">
        <f>-7977781-395105-3000000</f>
        <v>-11372886</v>
      </c>
      <c r="AE14" s="8">
        <f t="shared" si="6"/>
        <v>44544</v>
      </c>
      <c r="AF14" s="8" t="str">
        <f t="shared" si="6"/>
        <v>Secondary</v>
      </c>
      <c r="AG14" s="9">
        <f>-J45</f>
        <v>-2500</v>
      </c>
    </row>
    <row r="15" spans="3:38" outlineLevel="1" x14ac:dyDescent="0.35">
      <c r="C15" t="s">
        <v>29</v>
      </c>
      <c r="E15" s="6"/>
      <c r="F15" s="6"/>
      <c r="G15" s="6"/>
      <c r="H15" s="6"/>
      <c r="I15" s="6"/>
      <c r="J15" s="6"/>
      <c r="K15" s="6"/>
      <c r="L15" s="6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10"/>
      <c r="AE15" s="8">
        <f t="shared" si="6"/>
        <v>44552</v>
      </c>
      <c r="AF15" s="8" t="str">
        <f t="shared" si="6"/>
        <v>Primary</v>
      </c>
      <c r="AG15" s="9">
        <f>-J46</f>
        <v>-2660</v>
      </c>
    </row>
    <row r="16" spans="3:38" outlineLevel="1" x14ac:dyDescent="0.35">
      <c r="C16" s="1" t="s">
        <v>30</v>
      </c>
      <c r="E16" s="13">
        <f t="shared" ref="E16" si="7">SUM(E13:E15)</f>
        <v>4452776</v>
      </c>
      <c r="F16" s="13">
        <f t="shared" ref="F16:U16" si="8">SUM(F13:F15)</f>
        <v>6833512</v>
      </c>
      <c r="G16" s="13">
        <f t="shared" si="8"/>
        <v>6812356</v>
      </c>
      <c r="H16" s="13">
        <f t="shared" si="8"/>
        <v>6891304</v>
      </c>
      <c r="I16" s="13">
        <f t="shared" si="8"/>
        <v>5530844</v>
      </c>
      <c r="J16" s="13">
        <f t="shared" si="8"/>
        <v>4146234</v>
      </c>
      <c r="K16" s="13">
        <f t="shared" si="8"/>
        <v>2766185</v>
      </c>
      <c r="L16" s="13">
        <f t="shared" si="8"/>
        <v>828774</v>
      </c>
      <c r="M16" s="13">
        <f t="shared" si="8"/>
        <v>4930289</v>
      </c>
      <c r="N16" s="13">
        <f t="shared" si="8"/>
        <v>10808593</v>
      </c>
      <c r="O16" s="13">
        <f t="shared" si="8"/>
        <v>8614995.0500000007</v>
      </c>
      <c r="P16" s="13">
        <f t="shared" si="8"/>
        <v>7094387</v>
      </c>
      <c r="Q16" s="13">
        <f t="shared" si="8"/>
        <v>4298705</v>
      </c>
      <c r="R16" s="13">
        <f t="shared" ref="R16" si="9">SUM(R13:R15)</f>
        <v>8313444</v>
      </c>
      <c r="S16" s="13">
        <f t="shared" si="8"/>
        <v>10242462</v>
      </c>
      <c r="T16" s="13">
        <f t="shared" si="8"/>
        <v>8930126</v>
      </c>
      <c r="U16" s="13">
        <f t="shared" si="8"/>
        <v>5569478</v>
      </c>
      <c r="V16" s="13">
        <f t="shared" ref="V16:Y16" si="10">SUM(V13:V15)</f>
        <v>2375652</v>
      </c>
      <c r="W16" s="13">
        <f t="shared" ref="W16" si="11">SUM(W13:W15)</f>
        <v>-1508444</v>
      </c>
      <c r="X16" s="13">
        <f t="shared" si="10"/>
        <v>-7234247</v>
      </c>
      <c r="Y16" s="13">
        <f t="shared" si="10"/>
        <v>-4313987</v>
      </c>
      <c r="Z16" s="13">
        <f t="shared" ref="Z16:AC16" si="12">SUM(Z13:Z15)</f>
        <v>3273855</v>
      </c>
      <c r="AA16" s="13">
        <f t="shared" si="12"/>
        <v>3647603</v>
      </c>
      <c r="AB16" s="13">
        <f t="shared" si="12"/>
        <v>-5984515</v>
      </c>
      <c r="AC16" s="13">
        <f t="shared" si="12"/>
        <v>-2532559</v>
      </c>
      <c r="AE16" s="3" t="s">
        <v>22</v>
      </c>
      <c r="AF16" s="3"/>
      <c r="AG16" s="14">
        <f>SUM(AG9:AG15)</f>
        <v>-13552.5</v>
      </c>
    </row>
    <row r="17" spans="3:29" s="15" customFormat="1" outlineLevel="1" x14ac:dyDescent="0.35">
      <c r="C17" s="15" t="s">
        <v>31</v>
      </c>
      <c r="E17" s="16"/>
      <c r="F17" s="16"/>
      <c r="G17" s="16"/>
      <c r="H17" s="16"/>
      <c r="I17" s="16"/>
      <c r="J17" s="16"/>
      <c r="K17" s="16"/>
      <c r="L17" s="16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spans="3:29" s="15" customFormat="1" outlineLevel="1" x14ac:dyDescent="0.35">
      <c r="C18" s="15" t="s">
        <v>32</v>
      </c>
      <c r="E18" s="16"/>
      <c r="F18" s="16"/>
      <c r="G18" s="16"/>
      <c r="H18" s="16"/>
      <c r="I18" s="16"/>
      <c r="J18" s="16"/>
      <c r="K18" s="16"/>
      <c r="L18" s="16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</row>
    <row r="19" spans="3:29" s="15" customFormat="1" outlineLevel="1" x14ac:dyDescent="0.35">
      <c r="C19" s="18" t="s">
        <v>33</v>
      </c>
      <c r="E19" s="19"/>
      <c r="F19" s="19"/>
      <c r="G19" s="19"/>
      <c r="H19" s="19"/>
      <c r="I19" s="19"/>
      <c r="J19" s="19">
        <f>SUM(J17:J18)</f>
        <v>0</v>
      </c>
      <c r="K19" s="19">
        <f t="shared" ref="K19:L19" si="13">SUM(K17:K18)</f>
        <v>0</v>
      </c>
      <c r="L19" s="19">
        <f t="shared" si="13"/>
        <v>0</v>
      </c>
      <c r="M19" s="19">
        <f t="shared" ref="M19:P19" si="14">M17+M18</f>
        <v>0</v>
      </c>
      <c r="N19" s="19">
        <f t="shared" si="14"/>
        <v>0</v>
      </c>
      <c r="O19" s="19">
        <f t="shared" si="14"/>
        <v>0</v>
      </c>
      <c r="P19" s="19">
        <f t="shared" si="14"/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/>
    </row>
    <row r="20" spans="3:29" outlineLevel="1" x14ac:dyDescent="0.35">
      <c r="C20" s="1" t="s">
        <v>34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3:29" outlineLevel="1" x14ac:dyDescent="0.35">
      <c r="C21" t="s">
        <v>35</v>
      </c>
      <c r="E21" s="6"/>
      <c r="F21" s="6"/>
      <c r="G21" s="6"/>
      <c r="H21" s="6"/>
      <c r="I21" s="6"/>
      <c r="J21" s="6"/>
      <c r="K21" s="6"/>
      <c r="L21" s="6"/>
      <c r="M21" s="6"/>
      <c r="N21" s="6">
        <v>333772</v>
      </c>
      <c r="O21" s="6">
        <v>1191065</v>
      </c>
      <c r="P21" s="6">
        <v>354690</v>
      </c>
      <c r="Q21" s="6">
        <f>294194+165870+23438</f>
        <v>483502</v>
      </c>
      <c r="R21" s="6">
        <v>1443684</v>
      </c>
      <c r="S21" s="6">
        <v>2009620</v>
      </c>
      <c r="T21" s="6">
        <f>1239817+788813</f>
        <v>2028630</v>
      </c>
      <c r="U21" s="6">
        <v>1434356</v>
      </c>
      <c r="V21" s="6">
        <f>162900+2200942</f>
        <v>2363842</v>
      </c>
      <c r="W21" s="6">
        <v>6875155</v>
      </c>
      <c r="X21" s="6">
        <f>14362299+792000</f>
        <v>15154299</v>
      </c>
      <c r="Y21" s="6">
        <v>6006000</v>
      </c>
      <c r="Z21" s="6">
        <v>6778000</v>
      </c>
      <c r="AA21" s="6">
        <v>5629593</v>
      </c>
      <c r="AB21" s="6">
        <v>24442000</v>
      </c>
      <c r="AC21" s="6">
        <v>12342807</v>
      </c>
    </row>
    <row r="22" spans="3:29" outlineLevel="1" x14ac:dyDescent="0.35">
      <c r="C22" t="s">
        <v>36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3:29" outlineLevel="1" x14ac:dyDescent="0.35">
      <c r="F23" s="1"/>
    </row>
    <row r="24" spans="3:29" outlineLevel="1" x14ac:dyDescent="0.35">
      <c r="C24" s="1" t="s">
        <v>37</v>
      </c>
      <c r="E24" s="5"/>
      <c r="F24" s="5"/>
      <c r="G24" s="5"/>
      <c r="H24" s="5"/>
      <c r="I24" s="5"/>
      <c r="J24" s="5"/>
      <c r="K24" s="5"/>
      <c r="L24" s="5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spans="3:29" outlineLevel="1" x14ac:dyDescent="0.35">
      <c r="C25" s="1" t="str">
        <f>C9</f>
        <v>Revenue</v>
      </c>
      <c r="E25" s="5"/>
      <c r="F25" s="5"/>
      <c r="G25" s="5"/>
      <c r="H25" s="13">
        <f>SUM(E9:H9)</f>
        <v>9822829</v>
      </c>
      <c r="I25" s="13">
        <f>SUM(F9:I9)</f>
        <v>8106521</v>
      </c>
      <c r="J25" s="13">
        <f>SUM(G9:J9)</f>
        <v>5338958</v>
      </c>
      <c r="K25" s="13">
        <f>SUM(H9:K9)</f>
        <v>4584760</v>
      </c>
      <c r="L25" s="13">
        <f>SUM(I9:L9)</f>
        <v>4963092</v>
      </c>
      <c r="M25" s="13">
        <f t="shared" ref="M25:P25" si="15">SUM(J9:M9)</f>
        <v>6149229</v>
      </c>
      <c r="N25" s="13">
        <f t="shared" si="15"/>
        <v>4531169</v>
      </c>
      <c r="O25" s="13">
        <f t="shared" si="15"/>
        <v>4488948</v>
      </c>
      <c r="P25" s="13">
        <f t="shared" si="15"/>
        <v>4243842</v>
      </c>
      <c r="Q25" s="13">
        <f t="shared" ref="Q25" si="16">SUM(N9:Q9)</f>
        <v>3151658</v>
      </c>
      <c r="R25" s="13">
        <f t="shared" ref="R25" si="17">SUM(O9:R9)</f>
        <v>3034963</v>
      </c>
      <c r="S25" s="13">
        <f t="shared" ref="S25" si="18">SUM(P9:S9)</f>
        <v>3557885</v>
      </c>
      <c r="T25" s="13">
        <f t="shared" ref="T25" si="19">SUM(Q9:T9)</f>
        <v>4910139</v>
      </c>
      <c r="U25" s="13">
        <f t="shared" ref="U25" si="20">SUM(R9:U9)</f>
        <v>5563093</v>
      </c>
      <c r="V25" s="13">
        <f t="shared" ref="V25" si="21">SUM(S9:V9)</f>
        <v>6299334</v>
      </c>
      <c r="W25" s="13">
        <f t="shared" ref="W25" si="22">SUM(T9:W9)</f>
        <v>5801456</v>
      </c>
      <c r="X25" s="13">
        <f t="shared" ref="X25:AC25" si="23">SUM(U9:X9)</f>
        <v>12078489</v>
      </c>
      <c r="Y25" s="13">
        <f t="shared" si="23"/>
        <v>21488050</v>
      </c>
      <c r="Z25" s="13">
        <f t="shared" si="23"/>
        <v>24461681</v>
      </c>
      <c r="AA25" s="13">
        <f t="shared" si="23"/>
        <v>25885469</v>
      </c>
      <c r="AB25" s="13">
        <f t="shared" si="23"/>
        <v>22230946</v>
      </c>
      <c r="AC25" s="13">
        <f t="shared" si="23"/>
        <v>24755913</v>
      </c>
    </row>
    <row r="26" spans="3:29" outlineLevel="1" x14ac:dyDescent="0.35">
      <c r="C26" t="str">
        <f t="shared" ref="C26:C33" si="24">C12</f>
        <v>Adjusted EBITDA</v>
      </c>
      <c r="E26" s="11"/>
      <c r="F26" s="11"/>
      <c r="G26" s="11"/>
      <c r="H26" s="9">
        <f>SUM(E12:H12)</f>
        <v>-1462130</v>
      </c>
      <c r="I26" s="9">
        <f>SUM(F12:I12)</f>
        <v>-2382964</v>
      </c>
      <c r="J26" s="9">
        <f>SUM(G12:J12)</f>
        <v>-3964442</v>
      </c>
      <c r="K26" s="9">
        <f>SUM(H12:K12)</f>
        <v>-4369847</v>
      </c>
      <c r="L26" s="9">
        <f>SUM(I12:L12)</f>
        <v>-4950817</v>
      </c>
      <c r="M26" s="9">
        <f t="shared" ref="M26:V26" si="25">SUM(J12:M12)</f>
        <v>-4714912</v>
      </c>
      <c r="N26" s="9">
        <f t="shared" si="25"/>
        <v>-6061675.7599999998</v>
      </c>
      <c r="O26" s="9">
        <f t="shared" si="25"/>
        <v>-6899397.7599999998</v>
      </c>
      <c r="P26" s="9">
        <f t="shared" si="25"/>
        <v>-7335328.7599999998</v>
      </c>
      <c r="Q26" s="9">
        <f t="shared" si="25"/>
        <v>-8358725.7599999998</v>
      </c>
      <c r="R26" s="9">
        <f t="shared" si="25"/>
        <v>-8803622</v>
      </c>
      <c r="S26" s="9">
        <f t="shared" si="25"/>
        <v>-7740971</v>
      </c>
      <c r="T26" s="9">
        <f t="shared" si="25"/>
        <v>-7718201</v>
      </c>
      <c r="U26" s="9">
        <f t="shared" si="25"/>
        <v>-8276244</v>
      </c>
      <c r="V26" s="9">
        <f t="shared" si="25"/>
        <v>-8409170</v>
      </c>
      <c r="W26" s="9">
        <f t="shared" ref="W26:AC26" si="26">SUM(S12:W12)</f>
        <v>-10996445</v>
      </c>
      <c r="X26" s="9">
        <f t="shared" si="26"/>
        <v>-10327146</v>
      </c>
      <c r="Y26" s="9">
        <f t="shared" si="26"/>
        <v>-9468632</v>
      </c>
      <c r="Z26" s="9">
        <f t="shared" si="26"/>
        <v>-12898936</v>
      </c>
      <c r="AA26" s="9">
        <f t="shared" si="26"/>
        <v>-17713294</v>
      </c>
      <c r="AB26" s="9">
        <f t="shared" si="26"/>
        <v>-8550653</v>
      </c>
      <c r="AC26" s="9">
        <f t="shared" si="26"/>
        <v>-8998636</v>
      </c>
    </row>
    <row r="27" spans="3:29" outlineLevel="1" x14ac:dyDescent="0.35">
      <c r="C27" t="str">
        <f t="shared" si="24"/>
        <v>Cash and Equivalents</v>
      </c>
      <c r="E27" s="11"/>
      <c r="F27" s="11"/>
      <c r="G27" s="11"/>
      <c r="H27" s="9">
        <f t="shared" ref="H27:L33" si="27">H13</f>
        <v>7599649</v>
      </c>
      <c r="I27" s="9">
        <f t="shared" si="27"/>
        <v>5847518</v>
      </c>
      <c r="J27" s="9">
        <f t="shared" si="27"/>
        <v>4437909</v>
      </c>
      <c r="K27" s="9">
        <f t="shared" si="27"/>
        <v>3032861</v>
      </c>
      <c r="L27" s="9">
        <f t="shared" si="27"/>
        <v>1070451</v>
      </c>
      <c r="M27" s="9">
        <f t="shared" ref="M27:T27" si="28">M13</f>
        <v>5146967</v>
      </c>
      <c r="N27" s="9">
        <f t="shared" si="28"/>
        <v>11000272</v>
      </c>
      <c r="O27" s="9">
        <f t="shared" si="28"/>
        <v>8781675.0500000007</v>
      </c>
      <c r="P27" s="9">
        <f t="shared" si="28"/>
        <v>7236068</v>
      </c>
      <c r="Q27" s="9">
        <f t="shared" si="28"/>
        <v>4415387</v>
      </c>
      <c r="R27" s="9">
        <f t="shared" si="28"/>
        <v>8405127</v>
      </c>
      <c r="S27" s="9">
        <f t="shared" si="28"/>
        <v>10809146</v>
      </c>
      <c r="T27" s="9">
        <f t="shared" si="28"/>
        <v>9471811</v>
      </c>
      <c r="U27" s="9">
        <f t="shared" ref="U27:V27" si="29">U13</f>
        <v>6086164</v>
      </c>
      <c r="V27" s="9">
        <f t="shared" si="29"/>
        <v>2847874</v>
      </c>
      <c r="W27" s="9">
        <f t="shared" ref="W27:X27" si="30">W13</f>
        <v>3256000</v>
      </c>
      <c r="X27" s="9">
        <f t="shared" si="30"/>
        <v>1332420</v>
      </c>
      <c r="Y27" s="9">
        <f>Y13</f>
        <v>3230077</v>
      </c>
      <c r="Z27" s="9">
        <f>Z13</f>
        <v>9120142</v>
      </c>
      <c r="AA27" s="9">
        <f>AA13</f>
        <v>8801078</v>
      </c>
      <c r="AB27" s="9">
        <f>AB13</f>
        <v>3371183</v>
      </c>
      <c r="AC27" s="9">
        <f>AC13</f>
        <v>8840327</v>
      </c>
    </row>
    <row r="28" spans="3:29" outlineLevel="1" x14ac:dyDescent="0.35">
      <c r="C28" t="str">
        <f t="shared" si="24"/>
        <v>Financial Debt</v>
      </c>
      <c r="E28" s="11"/>
      <c r="F28" s="11"/>
      <c r="G28" s="11"/>
      <c r="H28" s="9">
        <f t="shared" si="27"/>
        <v>-708345</v>
      </c>
      <c r="I28" s="9">
        <f t="shared" si="27"/>
        <v>-316674</v>
      </c>
      <c r="J28" s="9">
        <f t="shared" si="27"/>
        <v>-291675</v>
      </c>
      <c r="K28" s="9">
        <f t="shared" si="27"/>
        <v>-266676</v>
      </c>
      <c r="L28" s="9">
        <f t="shared" si="27"/>
        <v>-241677</v>
      </c>
      <c r="M28" s="9">
        <f t="shared" ref="M28:T28" si="31">M14</f>
        <v>-216678</v>
      </c>
      <c r="N28" s="9">
        <f t="shared" si="31"/>
        <v>-191679</v>
      </c>
      <c r="O28" s="9">
        <f t="shared" si="31"/>
        <v>-166680</v>
      </c>
      <c r="P28" s="9">
        <f t="shared" si="31"/>
        <v>-141681</v>
      </c>
      <c r="Q28" s="9">
        <f t="shared" si="31"/>
        <v>-116682</v>
      </c>
      <c r="R28" s="9">
        <f t="shared" si="31"/>
        <v>-91683</v>
      </c>
      <c r="S28" s="9">
        <f t="shared" si="31"/>
        <v>-566684</v>
      </c>
      <c r="T28" s="9">
        <f t="shared" si="31"/>
        <v>-541685</v>
      </c>
      <c r="U28" s="9">
        <f t="shared" ref="U28:V28" si="32">U14</f>
        <v>-516686</v>
      </c>
      <c r="V28" s="9">
        <f t="shared" si="32"/>
        <v>-472222</v>
      </c>
      <c r="W28" s="9">
        <f t="shared" ref="W28:X28" si="33">W14</f>
        <v>-4764444</v>
      </c>
      <c r="X28" s="9">
        <f t="shared" si="33"/>
        <v>-8566667</v>
      </c>
      <c r="Y28" s="9">
        <f t="shared" ref="Y28:Z28" si="34">Y14</f>
        <v>-7544064</v>
      </c>
      <c r="Z28" s="9">
        <f t="shared" si="34"/>
        <v>-5846287</v>
      </c>
      <c r="AA28" s="9">
        <f t="shared" ref="AA28:AB28" si="35">AA14</f>
        <v>-5153475</v>
      </c>
      <c r="AB28" s="9">
        <f t="shared" si="35"/>
        <v>-9355698</v>
      </c>
      <c r="AC28" s="9">
        <f t="shared" ref="AC28" si="36">AC14</f>
        <v>-11372886</v>
      </c>
    </row>
    <row r="29" spans="3:29" outlineLevel="1" x14ac:dyDescent="0.35">
      <c r="C29" t="str">
        <f t="shared" si="24"/>
        <v>Debt Like Items (tex convertibles / shareholder loans)</v>
      </c>
      <c r="E29" s="11"/>
      <c r="F29" s="11"/>
      <c r="G29" s="11"/>
      <c r="H29" s="9">
        <f t="shared" si="27"/>
        <v>0</v>
      </c>
      <c r="I29" s="9">
        <f t="shared" si="27"/>
        <v>0</v>
      </c>
      <c r="J29" s="9">
        <f t="shared" si="27"/>
        <v>0</v>
      </c>
      <c r="K29" s="9">
        <f t="shared" si="27"/>
        <v>0</v>
      </c>
      <c r="L29" s="9">
        <f t="shared" si="27"/>
        <v>0</v>
      </c>
      <c r="M29" s="9">
        <f t="shared" ref="M29:T29" si="37">M15</f>
        <v>0</v>
      </c>
      <c r="N29" s="9">
        <f t="shared" si="37"/>
        <v>0</v>
      </c>
      <c r="O29" s="9">
        <f t="shared" si="37"/>
        <v>0</v>
      </c>
      <c r="P29" s="9">
        <f t="shared" si="37"/>
        <v>0</v>
      </c>
      <c r="Q29" s="9">
        <f t="shared" si="37"/>
        <v>0</v>
      </c>
      <c r="R29" s="9">
        <f t="shared" si="37"/>
        <v>0</v>
      </c>
      <c r="S29" s="9">
        <f t="shared" si="37"/>
        <v>0</v>
      </c>
      <c r="T29" s="9">
        <f t="shared" si="37"/>
        <v>0</v>
      </c>
      <c r="U29" s="9">
        <f t="shared" ref="U29:V29" si="38">U15</f>
        <v>0</v>
      </c>
      <c r="V29" s="9">
        <f t="shared" si="38"/>
        <v>0</v>
      </c>
      <c r="W29" s="9">
        <f t="shared" ref="W29:X29" si="39">W15</f>
        <v>0</v>
      </c>
      <c r="X29" s="9">
        <f t="shared" si="39"/>
        <v>0</v>
      </c>
      <c r="Y29" s="9">
        <f t="shared" ref="Y29:Z29" si="40">Y15</f>
        <v>0</v>
      </c>
      <c r="Z29" s="9">
        <f t="shared" si="40"/>
        <v>0</v>
      </c>
      <c r="AA29" s="9">
        <f t="shared" ref="AA29:AB29" si="41">AA15</f>
        <v>0</v>
      </c>
      <c r="AB29" s="9">
        <f t="shared" si="41"/>
        <v>0</v>
      </c>
      <c r="AC29" s="9">
        <f t="shared" ref="AC29" si="42">AC15</f>
        <v>0</v>
      </c>
    </row>
    <row r="30" spans="3:29" outlineLevel="1" x14ac:dyDescent="0.35">
      <c r="C30" t="str">
        <f t="shared" si="24"/>
        <v>Net Cash</v>
      </c>
      <c r="E30" s="11"/>
      <c r="F30" s="11"/>
      <c r="G30" s="11"/>
      <c r="H30" s="9">
        <f t="shared" si="27"/>
        <v>6891304</v>
      </c>
      <c r="I30" s="9">
        <f t="shared" si="27"/>
        <v>5530844</v>
      </c>
      <c r="J30" s="9">
        <f t="shared" si="27"/>
        <v>4146234</v>
      </c>
      <c r="K30" s="9">
        <f t="shared" si="27"/>
        <v>2766185</v>
      </c>
      <c r="L30" s="9">
        <f t="shared" si="27"/>
        <v>828774</v>
      </c>
      <c r="M30" s="9">
        <f t="shared" ref="M30:S30" si="43">M16</f>
        <v>4930289</v>
      </c>
      <c r="N30" s="9">
        <f t="shared" si="43"/>
        <v>10808593</v>
      </c>
      <c r="O30" s="9">
        <f t="shared" si="43"/>
        <v>8614995.0500000007</v>
      </c>
      <c r="P30" s="9">
        <f t="shared" si="43"/>
        <v>7094387</v>
      </c>
      <c r="Q30" s="9">
        <f t="shared" si="43"/>
        <v>4298705</v>
      </c>
      <c r="R30" s="9">
        <f t="shared" si="43"/>
        <v>8313444</v>
      </c>
      <c r="S30" s="9">
        <f t="shared" si="43"/>
        <v>10242462</v>
      </c>
      <c r="T30" s="9">
        <f t="shared" ref="T30:Y30" si="44">T16</f>
        <v>8930126</v>
      </c>
      <c r="U30" s="9">
        <f t="shared" si="44"/>
        <v>5569478</v>
      </c>
      <c r="V30" s="9">
        <f t="shared" si="44"/>
        <v>2375652</v>
      </c>
      <c r="W30" s="9">
        <f t="shared" si="44"/>
        <v>-1508444</v>
      </c>
      <c r="X30" s="9">
        <f t="shared" si="44"/>
        <v>-7234247</v>
      </c>
      <c r="Y30" s="9">
        <f t="shared" si="44"/>
        <v>-4313987</v>
      </c>
      <c r="Z30" s="9">
        <f t="shared" ref="Z30" si="45">Z16</f>
        <v>3273855</v>
      </c>
      <c r="AA30" s="9">
        <f t="shared" ref="AA30:AB30" si="46">AA16</f>
        <v>3647603</v>
      </c>
      <c r="AB30" s="9">
        <f t="shared" si="46"/>
        <v>-5984515</v>
      </c>
      <c r="AC30" s="9">
        <f t="shared" ref="AC30" si="47">AC16</f>
        <v>-2532559</v>
      </c>
    </row>
    <row r="31" spans="3:29" outlineLevel="1" x14ac:dyDescent="0.35">
      <c r="C31" s="15" t="str">
        <f t="shared" si="24"/>
        <v>of which Debt to 7dd (tex Convertibles / Shareholder loans)</v>
      </c>
      <c r="E31" s="20"/>
      <c r="F31" s="20"/>
      <c r="G31" s="20"/>
      <c r="H31" s="21">
        <f t="shared" si="27"/>
        <v>0</v>
      </c>
      <c r="I31" s="21">
        <f t="shared" si="27"/>
        <v>0</v>
      </c>
      <c r="J31" s="21">
        <f t="shared" si="27"/>
        <v>0</v>
      </c>
      <c r="K31" s="21">
        <f t="shared" si="27"/>
        <v>0</v>
      </c>
      <c r="L31" s="21">
        <f t="shared" si="27"/>
        <v>0</v>
      </c>
      <c r="M31" s="21">
        <f t="shared" ref="M31:T31" si="48">M17</f>
        <v>0</v>
      </c>
      <c r="N31" s="21">
        <f t="shared" si="48"/>
        <v>0</v>
      </c>
      <c r="O31" s="21">
        <f t="shared" si="48"/>
        <v>0</v>
      </c>
      <c r="P31" s="21">
        <f t="shared" si="48"/>
        <v>0</v>
      </c>
      <c r="Q31" s="21">
        <f t="shared" si="48"/>
        <v>0</v>
      </c>
      <c r="R31" s="21">
        <f t="shared" si="48"/>
        <v>0</v>
      </c>
      <c r="S31" s="21">
        <f t="shared" si="48"/>
        <v>0</v>
      </c>
      <c r="T31" s="21">
        <f t="shared" si="48"/>
        <v>0</v>
      </c>
      <c r="U31" s="21">
        <f t="shared" ref="U31:V31" si="49">U17</f>
        <v>0</v>
      </c>
      <c r="V31" s="21">
        <f t="shared" si="49"/>
        <v>0</v>
      </c>
      <c r="W31" s="21">
        <f t="shared" ref="W31:X31" si="50">W17</f>
        <v>0</v>
      </c>
      <c r="X31" s="21">
        <f t="shared" si="50"/>
        <v>0</v>
      </c>
      <c r="Y31" s="21">
        <f t="shared" ref="Y31:Z31" si="51">Y17</f>
        <v>0</v>
      </c>
      <c r="Z31" s="21">
        <f t="shared" si="51"/>
        <v>0</v>
      </c>
      <c r="AA31" s="21">
        <f t="shared" ref="AA31:AB31" si="52">AA17</f>
        <v>0</v>
      </c>
      <c r="AB31" s="21">
        <f t="shared" si="52"/>
        <v>0</v>
      </c>
      <c r="AC31" s="21">
        <f t="shared" ref="AC31" si="53">AC17</f>
        <v>0</v>
      </c>
    </row>
    <row r="32" spans="3:29" outlineLevel="1" x14ac:dyDescent="0.35">
      <c r="C32" s="15" t="str">
        <f t="shared" si="24"/>
        <v>Deferred Consideration</v>
      </c>
      <c r="E32" s="20"/>
      <c r="F32" s="20"/>
      <c r="G32" s="20"/>
      <c r="H32" s="21">
        <f t="shared" si="27"/>
        <v>0</v>
      </c>
      <c r="I32" s="21">
        <f t="shared" si="27"/>
        <v>0</v>
      </c>
      <c r="J32" s="21">
        <f t="shared" si="27"/>
        <v>0</v>
      </c>
      <c r="K32" s="21">
        <f t="shared" si="27"/>
        <v>0</v>
      </c>
      <c r="L32" s="21">
        <f t="shared" si="27"/>
        <v>0</v>
      </c>
      <c r="M32" s="21">
        <f t="shared" ref="M32:T32" si="54">M18</f>
        <v>0</v>
      </c>
      <c r="N32" s="21">
        <f t="shared" si="54"/>
        <v>0</v>
      </c>
      <c r="O32" s="21">
        <f t="shared" si="54"/>
        <v>0</v>
      </c>
      <c r="P32" s="21">
        <f t="shared" si="54"/>
        <v>0</v>
      </c>
      <c r="Q32" s="21">
        <f t="shared" si="54"/>
        <v>0</v>
      </c>
      <c r="R32" s="21">
        <f t="shared" si="54"/>
        <v>0</v>
      </c>
      <c r="S32" s="21">
        <f t="shared" si="54"/>
        <v>0</v>
      </c>
      <c r="T32" s="21">
        <f t="shared" si="54"/>
        <v>0</v>
      </c>
      <c r="U32" s="21">
        <f t="shared" ref="U32:V32" si="55">U18</f>
        <v>0</v>
      </c>
      <c r="V32" s="21">
        <f t="shared" si="55"/>
        <v>0</v>
      </c>
      <c r="W32" s="21">
        <f t="shared" ref="W32:X32" si="56">W18</f>
        <v>0</v>
      </c>
      <c r="X32" s="21">
        <f t="shared" si="56"/>
        <v>0</v>
      </c>
      <c r="Y32" s="21">
        <f t="shared" ref="Y32:Z32" si="57">Y18</f>
        <v>0</v>
      </c>
      <c r="Z32" s="21">
        <f t="shared" si="57"/>
        <v>0</v>
      </c>
      <c r="AA32" s="21">
        <f t="shared" ref="AA32:AB32" si="58">AA18</f>
        <v>0</v>
      </c>
      <c r="AB32" s="21">
        <f t="shared" si="58"/>
        <v>0</v>
      </c>
      <c r="AC32" s="21">
        <f t="shared" ref="AC32" si="59">AC18</f>
        <v>0</v>
      </c>
    </row>
    <row r="33" spans="3:32" outlineLevel="1" x14ac:dyDescent="0.35">
      <c r="C33" s="15" t="str">
        <f t="shared" si="24"/>
        <v>Net Preferred / Convertible</v>
      </c>
      <c r="E33" s="20"/>
      <c r="F33" s="20"/>
      <c r="G33" s="20"/>
      <c r="H33" s="21">
        <f t="shared" si="27"/>
        <v>0</v>
      </c>
      <c r="I33" s="21">
        <f t="shared" si="27"/>
        <v>0</v>
      </c>
      <c r="J33" s="21">
        <f t="shared" si="27"/>
        <v>0</v>
      </c>
      <c r="K33" s="21">
        <f t="shared" si="27"/>
        <v>0</v>
      </c>
      <c r="L33" s="21">
        <f t="shared" si="27"/>
        <v>0</v>
      </c>
      <c r="M33" s="21">
        <f t="shared" ref="M33:T33" si="60">M19</f>
        <v>0</v>
      </c>
      <c r="N33" s="21">
        <f t="shared" si="60"/>
        <v>0</v>
      </c>
      <c r="O33" s="21">
        <f t="shared" si="60"/>
        <v>0</v>
      </c>
      <c r="P33" s="21">
        <f t="shared" si="60"/>
        <v>0</v>
      </c>
      <c r="Q33" s="21">
        <f t="shared" si="60"/>
        <v>0</v>
      </c>
      <c r="R33" s="21">
        <f t="shared" si="60"/>
        <v>0</v>
      </c>
      <c r="S33" s="21">
        <f t="shared" si="60"/>
        <v>0</v>
      </c>
      <c r="T33" s="21">
        <f t="shared" si="60"/>
        <v>0</v>
      </c>
      <c r="U33" s="21">
        <f t="shared" ref="U33:V33" si="61">U19</f>
        <v>0</v>
      </c>
      <c r="V33" s="21">
        <f t="shared" si="61"/>
        <v>0</v>
      </c>
      <c r="W33" s="21">
        <f t="shared" ref="W33:X33" si="62">W19</f>
        <v>0</v>
      </c>
      <c r="X33" s="21">
        <f t="shared" si="62"/>
        <v>0</v>
      </c>
      <c r="Y33" s="21">
        <f t="shared" ref="Y33:Z33" si="63">Y19</f>
        <v>0</v>
      </c>
      <c r="Z33" s="21">
        <f t="shared" si="63"/>
        <v>0</v>
      </c>
      <c r="AA33" s="21">
        <f t="shared" ref="AA33:AB33" si="64">AA19</f>
        <v>0</v>
      </c>
      <c r="AB33" s="21">
        <f t="shared" si="64"/>
        <v>0</v>
      </c>
      <c r="AC33" s="21">
        <f t="shared" ref="AC33" si="65">AC19</f>
        <v>0</v>
      </c>
    </row>
    <row r="34" spans="3:32" x14ac:dyDescent="0.35">
      <c r="F34" s="1"/>
    </row>
    <row r="35" spans="3:32" x14ac:dyDescent="0.35">
      <c r="F35" s="1"/>
    </row>
    <row r="36" spans="3:32" x14ac:dyDescent="0.35">
      <c r="C36" s="22" t="s">
        <v>38</v>
      </c>
      <c r="F36" s="1"/>
    </row>
    <row r="37" spans="3:32" outlineLevel="1" x14ac:dyDescent="0.35">
      <c r="F37" s="1"/>
      <c r="I37" s="23" t="s">
        <v>39</v>
      </c>
      <c r="J37" s="23"/>
      <c r="K37" s="23"/>
      <c r="L37" s="23" t="s">
        <v>40</v>
      </c>
      <c r="M37" s="23"/>
      <c r="N37" s="23"/>
      <c r="O37" s="23" t="s">
        <v>41</v>
      </c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 t="s">
        <v>42</v>
      </c>
      <c r="AF37" s="23"/>
    </row>
    <row r="38" spans="3:32" ht="31" outlineLevel="1" x14ac:dyDescent="0.35">
      <c r="D38" s="24" t="s">
        <v>43</v>
      </c>
      <c r="E38" s="25" t="s">
        <v>17</v>
      </c>
      <c r="F38" s="26" t="s">
        <v>44</v>
      </c>
      <c r="G38" s="26" t="s">
        <v>18</v>
      </c>
      <c r="H38" s="27" t="s">
        <v>45</v>
      </c>
      <c r="I38" s="27" t="s">
        <v>46</v>
      </c>
      <c r="J38" s="27" t="s">
        <v>47</v>
      </c>
      <c r="K38" s="27" t="s">
        <v>48</v>
      </c>
      <c r="L38" s="27" t="s">
        <v>49</v>
      </c>
      <c r="M38" s="27" t="s">
        <v>50</v>
      </c>
      <c r="N38" s="27" t="s">
        <v>51</v>
      </c>
      <c r="O38" s="27" t="str">
        <f t="shared" ref="O38:P39" si="66">L38</f>
        <v>Pre</v>
      </c>
      <c r="P38" s="27" t="str">
        <f t="shared" si="66"/>
        <v>Change</v>
      </c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 t="str">
        <f>N38</f>
        <v>Post</v>
      </c>
      <c r="AE38" s="27" t="s">
        <v>20</v>
      </c>
      <c r="AF38" s="27" t="s">
        <v>48</v>
      </c>
    </row>
    <row r="39" spans="3:32" outlineLevel="1" x14ac:dyDescent="0.35">
      <c r="C39" t="s">
        <v>52</v>
      </c>
      <c r="D39" s="28">
        <v>1</v>
      </c>
      <c r="E39" s="29">
        <v>43805</v>
      </c>
      <c r="F39" s="30" t="s">
        <v>53</v>
      </c>
      <c r="G39" s="28" t="s">
        <v>54</v>
      </c>
      <c r="H39" s="31">
        <v>1</v>
      </c>
      <c r="I39" s="31">
        <v>50</v>
      </c>
      <c r="J39" s="31">
        <f>H39*M39/1000</f>
        <v>50</v>
      </c>
      <c r="K39" s="31">
        <v>0</v>
      </c>
      <c r="L39" s="31">
        <v>0</v>
      </c>
      <c r="M39" s="31">
        <v>50000</v>
      </c>
      <c r="N39" s="31">
        <f t="shared" ref="N39:N45" si="67">L39+M39</f>
        <v>50000</v>
      </c>
      <c r="O39" s="31">
        <f t="shared" si="66"/>
        <v>0</v>
      </c>
      <c r="P39" s="31">
        <f t="shared" si="66"/>
        <v>50000</v>
      </c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>
        <f>N39</f>
        <v>50000</v>
      </c>
      <c r="AE39" s="32">
        <f t="shared" ref="AE39:AE46" si="68">AD39/N39</f>
        <v>1</v>
      </c>
      <c r="AF39" s="33">
        <f t="shared" ref="AF39:AF46" si="69">1-AE39</f>
        <v>0</v>
      </c>
    </row>
    <row r="40" spans="3:32" outlineLevel="1" x14ac:dyDescent="0.35">
      <c r="C40" t="s">
        <v>52</v>
      </c>
      <c r="D40" s="28">
        <v>2</v>
      </c>
      <c r="E40" s="29">
        <v>43819</v>
      </c>
      <c r="F40" s="30" t="s">
        <v>55</v>
      </c>
      <c r="G40" s="28" t="s">
        <v>56</v>
      </c>
      <c r="H40" s="31">
        <v>1</v>
      </c>
      <c r="I40" s="31">
        <v>0</v>
      </c>
      <c r="J40" s="31">
        <f>P40/1000</f>
        <v>-33.75</v>
      </c>
      <c r="K40" s="31">
        <f>-J40</f>
        <v>33.75</v>
      </c>
      <c r="L40" s="31">
        <f t="shared" ref="L40:L46" si="70">N39</f>
        <v>50000</v>
      </c>
      <c r="M40" s="31">
        <v>0</v>
      </c>
      <c r="N40" s="31">
        <f t="shared" si="67"/>
        <v>50000</v>
      </c>
      <c r="O40" s="31">
        <f t="shared" ref="O40:O46" si="71">AD39</f>
        <v>50000</v>
      </c>
      <c r="P40" s="31">
        <v>-33750</v>
      </c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>
        <f t="shared" ref="AD40:AD46" si="72">O40+P40</f>
        <v>16250</v>
      </c>
      <c r="AE40" s="32">
        <f t="shared" si="68"/>
        <v>0.32500000000000001</v>
      </c>
      <c r="AF40" s="33">
        <f t="shared" si="69"/>
        <v>0.67500000000000004</v>
      </c>
    </row>
    <row r="41" spans="3:32" outlineLevel="1" x14ac:dyDescent="0.35">
      <c r="C41" t="s">
        <v>57</v>
      </c>
      <c r="D41" s="34" t="s">
        <v>58</v>
      </c>
      <c r="E41" s="29">
        <v>43882</v>
      </c>
      <c r="F41" s="30" t="s">
        <v>53</v>
      </c>
      <c r="G41" s="28" t="s">
        <v>59</v>
      </c>
      <c r="H41" s="31">
        <v>400</v>
      </c>
      <c r="I41" s="31">
        <v>5000</v>
      </c>
      <c r="J41" s="31">
        <v>5000</v>
      </c>
      <c r="K41" s="31">
        <f>I41-J41</f>
        <v>0</v>
      </c>
      <c r="L41" s="31">
        <f t="shared" si="70"/>
        <v>50000</v>
      </c>
      <c r="M41" s="31">
        <v>12500</v>
      </c>
      <c r="N41" s="31">
        <f t="shared" si="67"/>
        <v>62500</v>
      </c>
      <c r="O41" s="31">
        <f t="shared" si="71"/>
        <v>16250</v>
      </c>
      <c r="P41" s="31">
        <f>M41</f>
        <v>12500</v>
      </c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>
        <f t="shared" si="72"/>
        <v>28750</v>
      </c>
      <c r="AE41" s="32">
        <f t="shared" si="68"/>
        <v>0.46</v>
      </c>
      <c r="AF41" s="33">
        <f t="shared" si="69"/>
        <v>0.54</v>
      </c>
    </row>
    <row r="42" spans="3:32" outlineLevel="1" x14ac:dyDescent="0.35">
      <c r="C42" t="s">
        <v>57</v>
      </c>
      <c r="D42" s="28">
        <v>5</v>
      </c>
      <c r="E42" s="29">
        <v>43882</v>
      </c>
      <c r="F42" s="30" t="str">
        <f>F40</f>
        <v>Secondary</v>
      </c>
      <c r="G42" s="28" t="s">
        <v>56</v>
      </c>
      <c r="H42" s="31">
        <v>1</v>
      </c>
      <c r="I42" s="31">
        <v>0</v>
      </c>
      <c r="J42" s="31">
        <f>P42*H42/1000</f>
        <v>-1.75</v>
      </c>
      <c r="K42" s="31">
        <f>-J42</f>
        <v>1.75</v>
      </c>
      <c r="L42" s="31">
        <f t="shared" si="70"/>
        <v>62500</v>
      </c>
      <c r="M42" s="31">
        <v>0</v>
      </c>
      <c r="N42" s="31">
        <f t="shared" si="67"/>
        <v>62500</v>
      </c>
      <c r="O42" s="31">
        <f t="shared" si="71"/>
        <v>28750</v>
      </c>
      <c r="P42" s="31">
        <v>-1750</v>
      </c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>
        <f t="shared" si="72"/>
        <v>27000</v>
      </c>
      <c r="AE42" s="32">
        <f t="shared" si="68"/>
        <v>0.432</v>
      </c>
      <c r="AF42" s="33">
        <f t="shared" si="69"/>
        <v>0.56800000000000006</v>
      </c>
    </row>
    <row r="43" spans="3:32" outlineLevel="1" x14ac:dyDescent="0.35">
      <c r="C43" t="s">
        <v>60</v>
      </c>
      <c r="D43" s="28">
        <v>6</v>
      </c>
      <c r="E43" s="29">
        <v>43913</v>
      </c>
      <c r="F43" s="30" t="s">
        <v>53</v>
      </c>
      <c r="G43" s="28" t="s">
        <v>59</v>
      </c>
      <c r="H43" s="31">
        <v>400</v>
      </c>
      <c r="I43" s="31">
        <f>H43*M43/1000</f>
        <v>3500</v>
      </c>
      <c r="J43" s="31">
        <v>0</v>
      </c>
      <c r="K43" s="31">
        <f>I43</f>
        <v>3500</v>
      </c>
      <c r="L43" s="31">
        <f t="shared" si="70"/>
        <v>62500</v>
      </c>
      <c r="M43" s="31">
        <v>8750</v>
      </c>
      <c r="N43" s="31">
        <f t="shared" si="67"/>
        <v>71250</v>
      </c>
      <c r="O43" s="31">
        <f t="shared" si="71"/>
        <v>27000</v>
      </c>
      <c r="P43" s="31">
        <v>0</v>
      </c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>
        <f t="shared" si="72"/>
        <v>27000</v>
      </c>
      <c r="AE43" s="32">
        <f t="shared" si="68"/>
        <v>0.37894736842105264</v>
      </c>
      <c r="AF43" s="33">
        <f t="shared" si="69"/>
        <v>0.6210526315789473</v>
      </c>
    </row>
    <row r="44" spans="3:32" outlineLevel="1" x14ac:dyDescent="0.35">
      <c r="C44" t="s">
        <v>60</v>
      </c>
      <c r="D44" s="28">
        <v>7</v>
      </c>
      <c r="E44" s="29">
        <v>44368</v>
      </c>
      <c r="F44" s="30" t="s">
        <v>55</v>
      </c>
      <c r="G44" s="28" t="s">
        <v>61</v>
      </c>
      <c r="H44" s="31">
        <v>1</v>
      </c>
      <c r="I44" s="31">
        <v>0</v>
      </c>
      <c r="J44" s="31">
        <f>H44*P44</f>
        <v>3378</v>
      </c>
      <c r="K44" s="31">
        <f>-J44</f>
        <v>-3378</v>
      </c>
      <c r="L44" s="31">
        <f t="shared" si="70"/>
        <v>71250</v>
      </c>
      <c r="M44" s="31">
        <v>0</v>
      </c>
      <c r="N44" s="31">
        <f t="shared" si="67"/>
        <v>71250</v>
      </c>
      <c r="O44" s="31">
        <f t="shared" si="71"/>
        <v>27000</v>
      </c>
      <c r="P44" s="31">
        <v>3378</v>
      </c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>
        <f t="shared" si="72"/>
        <v>30378</v>
      </c>
      <c r="AE44" s="32">
        <f t="shared" si="68"/>
        <v>0.4263578947368421</v>
      </c>
      <c r="AF44" s="33">
        <f t="shared" si="69"/>
        <v>0.57364210526315795</v>
      </c>
    </row>
    <row r="45" spans="3:32" outlineLevel="1" x14ac:dyDescent="0.35">
      <c r="C45" t="s">
        <v>62</v>
      </c>
      <c r="D45" s="28">
        <v>8</v>
      </c>
      <c r="E45" s="29">
        <v>44544</v>
      </c>
      <c r="F45" s="30" t="str">
        <f>F44</f>
        <v>Secondary</v>
      </c>
      <c r="G45" s="28" t="s">
        <v>63</v>
      </c>
      <c r="H45" s="31">
        <f>J45/P45</f>
        <v>0.33333333333333331</v>
      </c>
      <c r="I45" s="31">
        <v>0</v>
      </c>
      <c r="J45" s="31">
        <v>2500</v>
      </c>
      <c r="K45" s="31">
        <f>-J45</f>
        <v>-2500</v>
      </c>
      <c r="L45" s="31">
        <f t="shared" si="70"/>
        <v>71250</v>
      </c>
      <c r="M45" s="31">
        <v>0</v>
      </c>
      <c r="N45" s="31">
        <f t="shared" si="67"/>
        <v>71250</v>
      </c>
      <c r="O45" s="31">
        <f t="shared" si="71"/>
        <v>30378</v>
      </c>
      <c r="P45" s="31">
        <v>7500</v>
      </c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>
        <f t="shared" si="72"/>
        <v>37878</v>
      </c>
      <c r="AE45" s="32">
        <f t="shared" si="68"/>
        <v>0.53162105263157899</v>
      </c>
      <c r="AF45" s="33">
        <f t="shared" si="69"/>
        <v>0.46837894736842101</v>
      </c>
    </row>
    <row r="46" spans="3:32" outlineLevel="1" x14ac:dyDescent="0.35">
      <c r="C46" s="35"/>
      <c r="D46" s="36">
        <v>9</v>
      </c>
      <c r="E46" s="37">
        <v>44552</v>
      </c>
      <c r="F46" s="38" t="str">
        <f>F43</f>
        <v>Primary</v>
      </c>
      <c r="G46" s="36"/>
      <c r="H46" s="39">
        <v>500</v>
      </c>
      <c r="I46" s="39">
        <f>H46*M46/1000</f>
        <v>4895</v>
      </c>
      <c r="J46" s="39">
        <f>P46*H46/1000</f>
        <v>2660</v>
      </c>
      <c r="K46" s="39">
        <f>-J46</f>
        <v>-2660</v>
      </c>
      <c r="L46" s="39">
        <f t="shared" si="70"/>
        <v>71250</v>
      </c>
      <c r="M46" s="39">
        <v>9790</v>
      </c>
      <c r="N46" s="39">
        <f>L46+M46</f>
        <v>81040</v>
      </c>
      <c r="O46" s="39">
        <f t="shared" si="71"/>
        <v>37878</v>
      </c>
      <c r="P46" s="39">
        <v>5320</v>
      </c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>
        <f t="shared" si="72"/>
        <v>43198</v>
      </c>
      <c r="AE46" s="40">
        <f t="shared" si="68"/>
        <v>0.53304540967423497</v>
      </c>
      <c r="AF46" s="41">
        <f t="shared" si="69"/>
        <v>0.46695459032576503</v>
      </c>
    </row>
    <row r="47" spans="3:32" s="1" customFormat="1" outlineLevel="1" x14ac:dyDescent="0.35">
      <c r="C47" s="42"/>
      <c r="D47" s="43"/>
      <c r="E47" s="44" t="s">
        <v>22</v>
      </c>
      <c r="F47" s="43"/>
      <c r="G47" s="43"/>
      <c r="H47" s="45">
        <f>J47/AD47</f>
        <v>0.31372980230566228</v>
      </c>
      <c r="I47" s="45">
        <f>SUM(I39:I46)</f>
        <v>13445</v>
      </c>
      <c r="J47" s="45">
        <f>SUM(J39:J46)</f>
        <v>13552.5</v>
      </c>
      <c r="K47" s="45">
        <f>SUM(K39:K46)</f>
        <v>-5002.5</v>
      </c>
      <c r="L47" s="46"/>
      <c r="M47" s="46"/>
      <c r="N47" s="46"/>
      <c r="O47" s="45">
        <f>O46</f>
        <v>37878</v>
      </c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5">
        <f>AD46</f>
        <v>43198</v>
      </c>
      <c r="AE47" s="46"/>
      <c r="AF47" s="46"/>
    </row>
    <row r="48" spans="3:32" x14ac:dyDescent="0.35">
      <c r="F48" s="1"/>
    </row>
    <row r="49" spans="3:31" x14ac:dyDescent="0.35">
      <c r="F49" s="1"/>
    </row>
    <row r="50" spans="3:31" s="22" customFormat="1" x14ac:dyDescent="0.35">
      <c r="C50" s="22" t="s">
        <v>64</v>
      </c>
    </row>
    <row r="51" spans="3:31" outlineLevel="1" x14ac:dyDescent="0.35">
      <c r="F51" s="1"/>
    </row>
    <row r="52" spans="3:31" ht="31" outlineLevel="1" x14ac:dyDescent="0.35">
      <c r="C52" s="4"/>
      <c r="D52" s="27" t="s">
        <v>65</v>
      </c>
      <c r="E52" s="27" t="s">
        <v>66</v>
      </c>
      <c r="F52" s="27" t="s">
        <v>67</v>
      </c>
      <c r="G52" s="27" t="s">
        <v>68</v>
      </c>
      <c r="H52" s="27" t="s">
        <v>69</v>
      </c>
      <c r="I52" s="27" t="s">
        <v>70</v>
      </c>
      <c r="J52" s="27" t="s">
        <v>71</v>
      </c>
      <c r="K52" s="27" t="s">
        <v>72</v>
      </c>
      <c r="L52" s="27" t="s">
        <v>73</v>
      </c>
      <c r="M52" s="24" t="s">
        <v>74</v>
      </c>
    </row>
    <row r="53" spans="3:31" outlineLevel="1" x14ac:dyDescent="0.35">
      <c r="C53" s="11" t="s">
        <v>13</v>
      </c>
      <c r="D53" s="9"/>
      <c r="E53" s="9"/>
      <c r="F53" s="9"/>
      <c r="G53" s="47"/>
      <c r="H53" s="47"/>
      <c r="I53" s="11"/>
      <c r="J53" s="9">
        <f>H46*N46/1000</f>
        <v>40520</v>
      </c>
      <c r="K53" s="12">
        <f>AF46</f>
        <v>0.46695459032576503</v>
      </c>
      <c r="L53" s="9">
        <f>J53*K53</f>
        <v>18921</v>
      </c>
      <c r="M53" t="s">
        <v>75</v>
      </c>
    </row>
    <row r="54" spans="3:31" outlineLevel="1" x14ac:dyDescent="0.35">
      <c r="C54" s="11" t="s">
        <v>14</v>
      </c>
      <c r="D54" s="11"/>
      <c r="E54" s="11"/>
      <c r="F54" s="11"/>
      <c r="G54" s="11"/>
      <c r="H54" s="11"/>
      <c r="I54" s="11"/>
      <c r="J54" s="11"/>
      <c r="K54" s="11"/>
      <c r="L54" s="9"/>
    </row>
    <row r="55" spans="3:31" outlineLevel="1" x14ac:dyDescent="0.35">
      <c r="C55" s="48" t="s">
        <v>15</v>
      </c>
      <c r="D55" s="48"/>
      <c r="E55" s="48"/>
      <c r="F55" s="48"/>
      <c r="G55" s="48"/>
      <c r="H55" s="48"/>
      <c r="I55" s="48"/>
      <c r="J55" s="48"/>
      <c r="K55" s="48"/>
      <c r="L55" s="49"/>
      <c r="M55" s="35"/>
    </row>
    <row r="56" spans="3:31" x14ac:dyDescent="0.35">
      <c r="F56" s="1"/>
    </row>
    <row r="57" spans="3:31" x14ac:dyDescent="0.35">
      <c r="F57" s="1"/>
    </row>
    <row r="58" spans="3:31" x14ac:dyDescent="0.35">
      <c r="F58" s="1"/>
    </row>
    <row r="59" spans="3:31" x14ac:dyDescent="0.35">
      <c r="F59" s="1"/>
    </row>
    <row r="60" spans="3:31" x14ac:dyDescent="0.35">
      <c r="F60" s="1"/>
    </row>
    <row r="61" spans="3:31" x14ac:dyDescent="0.35">
      <c r="G61" s="1"/>
      <c r="H61" s="1"/>
    </row>
    <row r="64" spans="3:31" x14ac:dyDescent="0.35">
      <c r="AD64" s="11"/>
      <c r="AE64" s="11"/>
    </row>
    <row r="65" spans="3:32" x14ac:dyDescent="0.35">
      <c r="AD65" s="11"/>
      <c r="AE65" s="11"/>
    </row>
    <row r="66" spans="3:32" x14ac:dyDescent="0.35">
      <c r="N66" s="10"/>
      <c r="AD66" s="11"/>
      <c r="AE66" s="11"/>
      <c r="AF66" s="11"/>
    </row>
    <row r="67" spans="3:32" x14ac:dyDescent="0.35">
      <c r="C67" s="22"/>
      <c r="E67" s="11"/>
      <c r="F67" s="11"/>
      <c r="G67" s="11"/>
      <c r="H67" s="11"/>
      <c r="I67" s="11"/>
      <c r="J67" s="11"/>
      <c r="K67" s="11"/>
      <c r="L67" s="11"/>
      <c r="M67" s="11"/>
    </row>
    <row r="68" spans="3:32" x14ac:dyDescent="0.35">
      <c r="C68" s="15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 spans="3:32" x14ac:dyDescent="0.35"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3:32" x14ac:dyDescent="0.35"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 spans="3:32" x14ac:dyDescent="0.35"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spans="3:32" x14ac:dyDescent="0.35"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spans="3:32" x14ac:dyDescent="0.35"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spans="3:32" x14ac:dyDescent="0.35"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spans="3:32" x14ac:dyDescent="0.35"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spans="3:32" x14ac:dyDescent="0.35"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</row>
    <row r="77" spans="3:32" x14ac:dyDescent="0.35"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</row>
    <row r="78" spans="3:32" x14ac:dyDescent="0.35"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</row>
    <row r="79" spans="3:32" x14ac:dyDescent="0.35">
      <c r="M79" t="s">
        <v>76</v>
      </c>
      <c r="N79" t="s">
        <v>77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2A91C3DEDC2884B98CF39D06A6BEED6" ma:contentTypeVersion="17" ma:contentTypeDescription="Skapa ett nytt dokument." ma:contentTypeScope="" ma:versionID="a16901119bf24e6f8fadad221ed6be04">
  <xsd:schema xmlns:xsd="http://www.w3.org/2001/XMLSchema" xmlns:xs="http://www.w3.org/2001/XMLSchema" xmlns:p="http://schemas.microsoft.com/office/2006/metadata/properties" xmlns:ns2="de175c60-97d7-4f88-a55f-c8fcac208a99" xmlns:ns3="1de23d1e-b2c4-4a4e-8346-c928916e571b" targetNamespace="http://schemas.microsoft.com/office/2006/metadata/properties" ma:root="true" ma:fieldsID="5ce66a0459091a30482fc2f10826501a" ns2:_="" ns3:_="">
    <xsd:import namespace="de175c60-97d7-4f88-a55f-c8fcac208a99"/>
    <xsd:import namespace="1de23d1e-b2c4-4a4e-8346-c928916e57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Id0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75c60-97d7-4f88-a55f-c8fcac208a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eringar" ma:readOnly="false" ma:fieldId="{5cf76f15-5ced-4ddc-b409-7134ff3c332f}" ma:taxonomyMulti="true" ma:sspId="82feb8b5-d01c-4e85-ad79-2e2b19e6f3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Id0" ma:index="21" nillable="true" ma:displayName="Id" ma:format="Dropdown" ma:internalName="Id0" ma:percentage="FALSE">
      <xsd:simpleType>
        <xsd:restriction base="dms:Number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e23d1e-b2c4-4a4e-8346-c928916e571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ee9d798-cdf4-41d3-99f3-98db4e715edb}" ma:internalName="TaxCatchAll" ma:showField="CatchAllData" ma:web="1de23d1e-b2c4-4a4e-8346-c928916e57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e23d1e-b2c4-4a4e-8346-c928916e571b" xsi:nil="true"/>
    <lcf76f155ced4ddcb4097134ff3c332f xmlns="de175c60-97d7-4f88-a55f-c8fcac208a99">
      <Terms xmlns="http://schemas.microsoft.com/office/infopath/2007/PartnerControls"/>
    </lcf76f155ced4ddcb4097134ff3c332f>
    <Id0 xmlns="de175c60-97d7-4f88-a55f-c8fcac208a99" xsi:nil="true"/>
  </documentManagement>
</p:properties>
</file>

<file path=customXml/itemProps1.xml><?xml version="1.0" encoding="utf-8"?>
<ds:datastoreItem xmlns:ds="http://schemas.openxmlformats.org/officeDocument/2006/customXml" ds:itemID="{7CB5492A-48BF-466C-A4A5-A9C8000B97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9F96CF-8185-44E2-BE71-392F23F5EC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175c60-97d7-4f88-a55f-c8fcac208a99"/>
    <ds:schemaRef ds:uri="1de23d1e-b2c4-4a4e-8346-c928916e57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84582B-4159-4404-8AD1-CBE4C28B27F3}">
  <ds:schemaRefs>
    <ds:schemaRef ds:uri="http://schemas.microsoft.com/office/2006/metadata/properties"/>
    <ds:schemaRef ds:uri="http://schemas.microsoft.com/office/infopath/2007/PartnerControls"/>
    <ds:schemaRef ds:uri="1de23d1e-b2c4-4a4e-8346-c928916e571b"/>
    <ds:schemaRef ds:uri="de175c60-97d7-4f88-a55f-c8fcac208a9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 Skoglund</dc:creator>
  <cp:lastModifiedBy>Filip Pihlqvist</cp:lastModifiedBy>
  <dcterms:created xsi:type="dcterms:W3CDTF">2022-04-04T09:50:32Z</dcterms:created>
  <dcterms:modified xsi:type="dcterms:W3CDTF">2026-04-15T07:59:29Z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0x01010082A91C3DEDC2884B98CF39D06A6BEED6</vt:lpwstr>
  </property>
  <property fmtid="{D5CDD505-2E9C-101B-9397-08002B2CF9AE}" pid="3" name="MediaServiceImageTags">
    <vt:lpwstr/>
  </property>
</Properties>
</file>